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Sessões" sheetId="2" state="visible" r:id="rId4"/>
    <sheet name="Volume semanal" sheetId="3" state="visible" r:id="rId5"/>
    <sheet name="Calibração RIR" sheetId="4" state="visible" r:id="rId6"/>
    <sheet name="Registro" sheetId="5" state="visible" r:id="rId7"/>
    <sheet name="Aderênc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<sst xmlns="http://schemas.openxmlformats.org/spreadsheetml/2006/main" count="355" uniqueCount="222">
  <si>
    <t xml:space="preserve">PROGRAMA SEQUENCIAL U/L/PUSH/PULL/LEGS — MESOCICLO 1</t>
  </si>
  <si>
    <t xml:space="preserve">Por que mudou</t>
  </si>
  <si>
    <t xml:space="preserve">Registro 10/08–03/10: 29 dias treinados em 8 semanas (~3,6/sem; 3/sem nas últimas 4). O PPL 6x virou 1x/semana por músculo na prática. Este programa entrega ~2x/semana a 5 sessões e degrada sem buracos quando você treina menos.</t>
  </si>
  <si>
    <t xml:space="preserve">Sequência</t>
  </si>
  <si>
    <t xml:space="preserve">A Upper → B Lower → C Push → D Pull → E Legs → volta ao A. NÃO existe 'treino de quarta'. Faltou um dia? Faça o PRÓXIMO da fila. Nenhum grupo é pulado por causa de agenda.</t>
  </si>
  <si>
    <t xml:space="preserve">Rodada</t>
  </si>
  <si>
    <t xml:space="preserve">1 rodada = A+B+C+D+E (5 sessões). A 5x/semana, 1 rodada = 1 semana.</t>
  </si>
  <si>
    <t xml:space="preserve">Mesociclo</t>
  </si>
  <si>
    <t xml:space="preserve">Rodadas 1–4 = treino. Rodada 5 = deload. Depois troca TODOS os exercícios (coluna 'Meso 2' em cada sessão). A rotação é por número de exposições (4 por exercício), não por calendário: se a semana for fraca, o meso alonga, mas cada exercício recebe as mesmas 4 exposições — é o que permite medir progressão.</t>
  </si>
  <si>
    <t xml:space="preserve">Rodada 1 — Calibração</t>
  </si>
  <si>
    <t xml:space="preserve">Você não sabe estimar RIR (resposta 'nunca pensei nisso'). Na rodada 1, na ÚLTIMA série de cada exercício marcado 'SIM' na coluna 'Teste falha', vá até a falha técnica (a repetição fica visivelmente lenta ou a técnica quebra). Antes de começar a série, anote quantas reps você ACHA que faria. A diferença entre o palpite e o real é o seu erro de estimativa. Só em máquina/polia — nunca em halter acima da cabeça ou búlgaro.</t>
  </si>
  <si>
    <t xml:space="preserve">Rodadas 2–4 — esforço</t>
  </si>
  <si>
    <t xml:space="preserve">Compostos (exercícios 1–2 de cada sessão): parar quando sobrarem 1–2 reps. Isolados: parar quando sobrar 0–1. Se todas as séries saem com as MESMAS reps, você está longe da falha — o normal em esforço real é a última série cair 1–3 reps.</t>
  </si>
  <si>
    <t xml:space="preserve">Progressão (dupla)</t>
  </si>
  <si>
    <t xml:space="preserve">Trabalhe dentro da faixa de reps. Quando TODAS as séries baterem o topo da faixa com o esforço-alvo, suba a carga na próxima exposição: menor incremento disponível no superior (máquina 2–5 kg; halter +1–2 kg cada), +5% no inferior. Voltou para o fundo da faixa? Normal. Suba as reps de novo.</t>
  </si>
  <si>
    <t xml:space="preserve">Deload (rodada 5)</t>
  </si>
  <si>
    <t xml:space="preserve">Metade das séries, mesmas reps, carga −10%, longe da falha. Serve para dissipar fadiga antes de trocar os exercícios.</t>
  </si>
  <si>
    <t xml:space="preserve">Registro de carga</t>
  </si>
  <si>
    <t xml:space="preserve">CARGA TOTAL, como o número da máquina/pino mostra. Registre sempre na MESMA máquina; trocou de máquina, anote em Obs. Graviton: registrar a ASSISTÊNCIA (quanto MENOR, mais difícil — progressão é descer o número). Leg press 45° com 50 kg 'total' está incoerente com hack de 30 kg: confirme se o carrinho entra no total e mantenha o critério.</t>
  </si>
  <si>
    <t xml:space="preserve">Postural</t>
  </si>
  <si>
    <t xml:space="preserve">Saiu do bloco diário (abandonado após 19/08) e entrou DENTRO das sessões A e D: face pull, Y-raise e extensão torácica em prono. Não são opcionais: são o que justifica o volume de puxada.</t>
  </si>
  <si>
    <t xml:space="preserve">Execução</t>
  </si>
  <si>
    <t xml:space="preserve">Descida controlada, sem impulso, amplitude completa. Nos exercícios de costas: segurar 1 s na contração.</t>
  </si>
  <si>
    <t xml:space="preserve">Gatilho de aderência</t>
  </si>
  <si>
    <t xml:space="preserve">Aba 'Aderência': meta de 10 sessões nas primeiras 2 semanas. Menos de 8 → o programa cai para Upper/Lower 4x, sem renegociação.</t>
  </si>
  <si>
    <t xml:space="preserve">Restrições respeitadas</t>
  </si>
  <si>
    <t xml:space="preserve">Sem terra, stiff, good morning, RDL ou agachamento livre. Remadas com apoio de tronco (sem carga em flexão lombar).</t>
  </si>
  <si>
    <t xml:space="preserve">Cardio Z2</t>
  </si>
  <si>
    <t xml:space="preserve">2x/semana, 30–40 min, 60–70% FCmáx, longe das sessões B e E.</t>
  </si>
  <si>
    <t xml:space="preserve">SESSÕES — Mesociclo 1 (rodadas 1–4) + deload (rodada 5)</t>
  </si>
  <si>
    <t xml:space="preserve">Carga de partida = último registro coerente do seu app. 'calibrar' = histórico ausente ou incoerente: na 1ª exposição, ache a carga que dá o topo da faixa com ~2 reps sobrando.</t>
  </si>
  <si>
    <t xml:space="preserve">A — UPPER</t>
  </si>
  <si>
    <t xml:space="preserve">#</t>
  </si>
  <si>
    <t xml:space="preserve">Exercício</t>
  </si>
  <si>
    <t xml:space="preserve">Séries</t>
  </si>
  <si>
    <t xml:space="preserve">Reps</t>
  </si>
  <si>
    <t xml:space="preserve">Descanso</t>
  </si>
  <si>
    <t xml:space="preserve">Teste falha (rod.1)</t>
  </si>
  <si>
    <t xml:space="preserve">Partida (kg)</t>
  </si>
  <si>
    <t xml:space="preserve">Notas</t>
  </si>
  <si>
    <t xml:space="preserve">Meso 2 (troca)</t>
  </si>
  <si>
    <t xml:space="preserve">Supino inclinado na máquina</t>
  </si>
  <si>
    <t xml:space="preserve">6-9</t>
  </si>
  <si>
    <t xml:space="preserve">2-3 min</t>
  </si>
  <si>
    <t xml:space="preserve">SIM</t>
  </si>
  <si>
    <t xml:space="preserve">45</t>
  </si>
  <si>
    <t xml:space="preserve">Último registro 45×9 (3 exp. sem progredir)</t>
  </si>
  <si>
    <t xml:space="preserve">Supino reto com halteres</t>
  </si>
  <si>
    <t xml:space="preserve">Puxada frente pronada</t>
  </si>
  <si>
    <t xml:space="preserve">6-10</t>
  </si>
  <si>
    <t xml:space="preserve">65</t>
  </si>
  <si>
    <t xml:space="preserve">Começar pela depressão escapular</t>
  </si>
  <si>
    <t xml:space="preserve">Puxada neutra fechada</t>
  </si>
  <si>
    <t xml:space="preserve">Remada com apoio de peito (máquina)</t>
  </si>
  <si>
    <t xml:space="preserve">8-12</t>
  </si>
  <si>
    <t xml:space="preserve">2 min</t>
  </si>
  <si>
    <t xml:space="preserve">calibrar</t>
  </si>
  <si>
    <t xml:space="preserve">Sem histórico</t>
  </si>
  <si>
    <t xml:space="preserve">Remada cavalinho com apoio de peito</t>
  </si>
  <si>
    <t xml:space="preserve">Desenvolvimento na máquina</t>
  </si>
  <si>
    <t xml:space="preserve">Histórico 12→30 kg incoerente</t>
  </si>
  <si>
    <t xml:space="preserve">Desenvolvimento Arnold</t>
  </si>
  <si>
    <t xml:space="preserve">Face pull na polia (POSTURAL)</t>
  </si>
  <si>
    <t xml:space="preserve">12-20</t>
  </si>
  <si>
    <t xml:space="preserve">60-90 s</t>
  </si>
  <si>
    <t xml:space="preserve">não</t>
  </si>
  <si>
    <t xml:space="preserve">12</t>
  </si>
  <si>
    <t xml:space="preserve">Ombro não sobe; segurar 1 s</t>
  </si>
  <si>
    <t xml:space="preserve">Crucifixo inverso na máquina</t>
  </si>
  <si>
    <t xml:space="preserve">Rosca na polia baixa (barra) + Tríceps corda — biset</t>
  </si>
  <si>
    <t xml:space="preserve">10-15</t>
  </si>
  <si>
    <t xml:space="preserve">60 s</t>
  </si>
  <si>
    <t xml:space="preserve">12 / 15</t>
  </si>
  <si>
    <t xml:space="preserve">Alternar sem descanso entre os dois</t>
  </si>
  <si>
    <t xml:space="preserve">Rosca Scott + Tríceps barra reta</t>
  </si>
  <si>
    <t xml:space="preserve">Total de séries</t>
  </si>
  <si>
    <t xml:space="preserve">B — LOWER</t>
  </si>
  <si>
    <t xml:space="preserve">Hack squat</t>
  </si>
  <si>
    <t xml:space="preserve">30</t>
  </si>
  <si>
    <t xml:space="preserve">Último 30×9</t>
  </si>
  <si>
    <t xml:space="preserve">Agachamento no Smith</t>
  </si>
  <si>
    <t xml:space="preserve">Flexora sentada</t>
  </si>
  <si>
    <t xml:space="preserve">Histórico 120/50/210 kg incoerente</t>
  </si>
  <si>
    <t xml:space="preserve">Flexora sentada unilateral</t>
  </si>
  <si>
    <t xml:space="preserve">Leg press 45°</t>
  </si>
  <si>
    <t xml:space="preserve">10-12</t>
  </si>
  <si>
    <t xml:space="preserve">50</t>
  </si>
  <si>
    <t xml:space="preserve">Confirmar se 50 kg é total real</t>
  </si>
  <si>
    <t xml:space="preserve">Leg press unilateral</t>
  </si>
  <si>
    <t xml:space="preserve">Elevação pélvica na máquina</t>
  </si>
  <si>
    <t xml:space="preserve">90 s</t>
  </si>
  <si>
    <t xml:space="preserve">Histórico 150→15 kg incoerente</t>
  </si>
  <si>
    <t xml:space="preserve">Hip thrust com barra</t>
  </si>
  <si>
    <t xml:space="preserve">Panturrilha em pé</t>
  </si>
  <si>
    <t xml:space="preserve">42,5</t>
  </si>
  <si>
    <t xml:space="preserve">Pausa no alongamento e no topo</t>
  </si>
  <si>
    <t xml:space="preserve">Panturrilha no leg press</t>
  </si>
  <si>
    <t xml:space="preserve">Abdominal na polia alta</t>
  </si>
  <si>
    <t xml:space="preserve">Lombar sem dor, flexão vem do abdome</t>
  </si>
  <si>
    <t xml:space="preserve">Abdominal na máquina</t>
  </si>
  <si>
    <t xml:space="preserve">C — PUSH</t>
  </si>
  <si>
    <t xml:space="preserve">Supino na máquina (convergente)</t>
  </si>
  <si>
    <t xml:space="preserve">70</t>
  </si>
  <si>
    <t xml:space="preserve">Último 70×9</t>
  </si>
  <si>
    <t xml:space="preserve">Supino inclinado com halteres</t>
  </si>
  <si>
    <t xml:space="preserve">Desenvolvimento sentado com halteres</t>
  </si>
  <si>
    <t xml:space="preserve">18</t>
  </si>
  <si>
    <t xml:space="preserve">Último 18×10</t>
  </si>
  <si>
    <t xml:space="preserve">Crossover na polia alta</t>
  </si>
  <si>
    <t xml:space="preserve">25</t>
  </si>
  <si>
    <t xml:space="preserve">Último 25×12</t>
  </si>
  <si>
    <t xml:space="preserve">Peck deck (voador)</t>
  </si>
  <si>
    <t xml:space="preserve">Elevação lateral na polia (unilateral)</t>
  </si>
  <si>
    <t xml:space="preserve">Histórico 8→2,5 kg incoerente</t>
  </si>
  <si>
    <t xml:space="preserve">Elevação lateral na máquina</t>
  </si>
  <si>
    <t xml:space="preserve">Tríceps overhead na polia (corda)</t>
  </si>
  <si>
    <t xml:space="preserve">17</t>
  </si>
  <si>
    <t xml:space="preserve">Último 17×14</t>
  </si>
  <si>
    <t xml:space="preserve">Tríceps francês com halter</t>
  </si>
  <si>
    <t xml:space="preserve">D — PULL</t>
  </si>
  <si>
    <t xml:space="preserve">Graviton pegada neutra (assistência)</t>
  </si>
  <si>
    <t xml:space="preserve">14</t>
  </si>
  <si>
    <t xml:space="preserve">Registrar ASSISTÊNCIA: progredir = descer</t>
  </si>
  <si>
    <t xml:space="preserve">Puxada frente supinada</t>
  </si>
  <si>
    <t xml:space="preserve">Remada na máquina pegada neutra</t>
  </si>
  <si>
    <t xml:space="preserve">Último 65×12 → subir</t>
  </si>
  <si>
    <t xml:space="preserve">Remada com apoio de peito</t>
  </si>
  <si>
    <t xml:space="preserve">Remada unilateral com halter (apoio no banco)</t>
  </si>
  <si>
    <t xml:space="preserve">24</t>
  </si>
  <si>
    <t xml:space="preserve">Último 24×10</t>
  </si>
  <si>
    <t xml:space="preserve">Remada unilateral na polia</t>
  </si>
  <si>
    <t xml:space="preserve">Y-raise prono no banco inclinado 30° (POSTURAL)</t>
  </si>
  <si>
    <t xml:space="preserve">12-15</t>
  </si>
  <si>
    <t xml:space="preserve">5</t>
  </si>
  <si>
    <t xml:space="preserve">Trapézio inferior; ombro não sobe</t>
  </si>
  <si>
    <t xml:space="preserve">Crucifixo inverso na polia cruzada</t>
  </si>
  <si>
    <t xml:space="preserve">Extensão torácica em prono (POSTURAL)</t>
  </si>
  <si>
    <t xml:space="preserve">peso corporal</t>
  </si>
  <si>
    <t xml:space="preserve">Levantar o esterno, não a lombar; pausa 2 s no topo</t>
  </si>
  <si>
    <t xml:space="preserve">mesmo (não rotaciona)</t>
  </si>
  <si>
    <t xml:space="preserve">Rosca inclinada com halteres</t>
  </si>
  <si>
    <t xml:space="preserve">10</t>
  </si>
  <si>
    <t xml:space="preserve">Estagnada em 10 kg há 4 exposições</t>
  </si>
  <si>
    <t xml:space="preserve">Rosca bayesian na polia</t>
  </si>
  <si>
    <t xml:space="preserve">E — LEGS</t>
  </si>
  <si>
    <t xml:space="preserve">Tronco vertical, pés levemente à frente</t>
  </si>
  <si>
    <t xml:space="preserve">Flexora deitada</t>
  </si>
  <si>
    <t xml:space="preserve">Quadril colado no banco</t>
  </si>
  <si>
    <t xml:space="preserve">Agachamento búlgaro com halteres</t>
  </si>
  <si>
    <t xml:space="preserve">7,5</t>
  </si>
  <si>
    <t xml:space="preserve">Tronco ereto; joelho alinhado</t>
  </si>
  <si>
    <t xml:space="preserve">Passada estática no Smith</t>
  </si>
  <si>
    <t xml:space="preserve">Cadeira extensora</t>
  </si>
  <si>
    <t xml:space="preserve">Último 50×12</t>
  </si>
  <si>
    <t xml:space="preserve">Panturrilha sentado</t>
  </si>
  <si>
    <t xml:space="preserve">22,5</t>
  </si>
  <si>
    <t xml:space="preserve">Último 20×12</t>
  </si>
  <si>
    <t xml:space="preserve">Panturrilha em pé unilateral</t>
  </si>
  <si>
    <t xml:space="preserve">Prancha lateral</t>
  </si>
  <si>
    <t xml:space="preserve">30-45 s/lado</t>
  </si>
  <si>
    <t xml:space="preserve">45 s</t>
  </si>
  <si>
    <t xml:space="preserve">Quadril não cai</t>
  </si>
  <si>
    <t xml:space="preserve">Prancha frontal com carga</t>
  </si>
  <si>
    <t xml:space="preserve">Séries diretas por rodada (= semana a 5x)</t>
  </si>
  <si>
    <t xml:space="preserve">Grupo</t>
  </si>
  <si>
    <t xml:space="preserve">De onde vêm</t>
  </si>
  <si>
    <t xml:space="preserve">Peito</t>
  </si>
  <si>
    <t xml:space="preserve">A supino inclinado 3 · C supino 4 · C crossover 3</t>
  </si>
  <si>
    <t xml:space="preserve">Costas (dorsal/remadas)</t>
  </si>
  <si>
    <t xml:space="preserve">A puxada 3 + remada 3 · D graviton 3 + remada 3 + unilateral 3</t>
  </si>
  <si>
    <t xml:space="preserve">Deltoide posterior / trapézio inf.</t>
  </si>
  <si>
    <t xml:space="preserve">A face pull 3 · D Y-raise 3 (+ extensão torácica 3)</t>
  </si>
  <si>
    <t xml:space="preserve">Deltoide lateral/anterior</t>
  </si>
  <si>
    <t xml:space="preserve">A desenvolvimento 2 · C desenvolvimento 3 · C elevação lateral 4</t>
  </si>
  <si>
    <t xml:space="preserve">Quadríceps</t>
  </si>
  <si>
    <t xml:space="preserve">B hack 3 + leg press 3 · E Smith 3 + búlgaro 3 + extensora 3</t>
  </si>
  <si>
    <t xml:space="preserve">Posterior de coxa</t>
  </si>
  <si>
    <t xml:space="preserve">B flexora sentada 3 · E flexora deitada 3</t>
  </si>
  <si>
    <t xml:space="preserve">Glúteo</t>
  </si>
  <si>
    <t xml:space="preserve">B elevação pélvica 3 (+ búlgaro, leg press indiretos)</t>
  </si>
  <si>
    <t xml:space="preserve">Bíceps</t>
  </si>
  <si>
    <t xml:space="preserve">A biset 2 · D rosca inclinada 3 (+ todas as puxadas)</t>
  </si>
  <si>
    <t xml:space="preserve">Tríceps</t>
  </si>
  <si>
    <t xml:space="preserve">A biset 2 · C overhead 3 (+ todos os supinos)</t>
  </si>
  <si>
    <t xml:space="preserve">Panturrilha</t>
  </si>
  <si>
    <t xml:space="preserve">B 4 · E 4</t>
  </si>
  <si>
    <t xml:space="preserve">Core</t>
  </si>
  <si>
    <t xml:space="preserve">B abdominal 3 · E prancha lateral 2</t>
  </si>
  <si>
    <t xml:space="preserve">Total</t>
  </si>
  <si>
    <t xml:space="preserve">Leitura: costas &gt; peito de propósito (razão puxar:empurrar ~1,5:1 por causa da cifose). Se a frequência cair para 3x/semana, divida esses números por ~1,7.</t>
  </si>
  <si>
    <t xml:space="preserve">CALIBRAÇÃO DE ESFORÇO — só rodada 1, última série dos exercícios 'SIM'</t>
  </si>
  <si>
    <t xml:space="preserve">Antes da série: anote quantas reps ACHA que faz até a falha. Depois vá até a falha técnica e anote o real. Erro médio &gt; 2 = você para cedo demais; ajuste para cima.</t>
  </si>
  <si>
    <t xml:space="preserve">Data</t>
  </si>
  <si>
    <t xml:space="preserve">Carga (kg)</t>
  </si>
  <si>
    <t xml:space="preserve">Palpite (reps)</t>
  </si>
  <si>
    <t xml:space="preserve">Real (reps)</t>
  </si>
  <si>
    <t xml:space="preserve">Erro (real−palpite)</t>
  </si>
  <si>
    <t xml:space="preserve">Exemplo — Hack squat (apagar)</t>
  </si>
  <si>
    <t xml:space="preserve">Erro médio</t>
  </si>
  <si>
    <t xml:space="preserve">REGISTRO — uma linha por SÉRIE. Amarelo = você preenche.</t>
  </si>
  <si>
    <t xml:space="preserve">Carga TOTAL como a máquina mostra. RIR só na última série de cada exercício. e1RM (Epley) compara exposições com reps diferentes: se ela sobe, você progrediu.</t>
  </si>
  <si>
    <t xml:space="preserve">Sessão</t>
  </si>
  <si>
    <t xml:space="preserve">Série</t>
  </si>
  <si>
    <t xml:space="preserve">RIR (última)</t>
  </si>
  <si>
    <t xml:space="preserve">e1RM (kg)</t>
  </si>
  <si>
    <t xml:space="preserve">Obs (máquina, dor, sono)</t>
  </si>
  <si>
    <t xml:space="preserve">A</t>
  </si>
  <si>
    <t xml:space="preserve">Exemplo — Supino inclinado na máquina (apagar)</t>
  </si>
  <si>
    <t xml:space="preserve">máquina 2</t>
  </si>
  <si>
    <t xml:space="preserve">GATILHO DE ADERÊNCIA — 1ª quinzena</t>
  </si>
  <si>
    <t xml:space="preserve">Data de início (preencha)</t>
  </si>
  <si>
    <t xml:space="preserve">Fim da janela (14 dias)</t>
  </si>
  <si>
    <t xml:space="preserve">Meta de sessões</t>
  </si>
  <si>
    <t xml:space="preserve">seu compromisso (5x)</t>
  </si>
  <si>
    <t xml:space="preserve">Mínimo para manter 5x</t>
  </si>
  <si>
    <t xml:space="preserve">regra definida nesta conversa</t>
  </si>
  <si>
    <t xml:space="preserve">Sessões realizadas na janela</t>
  </si>
  <si>
    <t xml:space="preserve">Decisão</t>
  </si>
  <si>
    <t xml:space="preserve">Data da sessão</t>
  </si>
  <si>
    <t xml:space="preserve">Sessão (A-E)</t>
  </si>
  <si>
    <t xml:space="preserve">Duração (min)</t>
  </si>
  <si>
    <t xml:space="preserve">Obs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</si>
</sst>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General"/>
    <numFmt numFmtId="167" formatCode="0.0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46.2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35.0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35.0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4" t="s">
        <v>30</v>
      </c>
    </row>
    <row r="4" customFormat="false" ht="15" hidden="false" customHeight="false" outlineLevel="0" collapsed="false">
      <c r="A4" s="5" t="s">
        <v>31</v>
      </c>
    </row>
    <row r="5" customFormat="false" ht="23.85" hidden="false" customHeight="fals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</row>
    <row r="6" customFormat="false" ht="15" hidden="false" customHeight="false" outlineLevel="0" collapsed="false">
      <c r="A6" s="7" t="n">
        <v>1</v>
      </c>
      <c r="B6" s="7" t="s">
        <v>41</v>
      </c>
      <c r="C6" s="7" t="n">
        <v>3</v>
      </c>
      <c r="D6" s="7" t="s">
        <v>42</v>
      </c>
      <c r="E6" s="7" t="s">
        <v>43</v>
      </c>
      <c r="F6" s="7" t="s">
        <v>44</v>
      </c>
      <c r="G6" s="7" t="s">
        <v>45</v>
      </c>
      <c r="H6" s="7" t="s">
        <v>46</v>
      </c>
      <c r="I6" s="7" t="s">
        <v>47</v>
      </c>
    </row>
    <row r="7" customFormat="false" ht="15" hidden="false" customHeight="false" outlineLevel="0" collapsed="false">
      <c r="A7" s="7" t="n">
        <v>2</v>
      </c>
      <c r="B7" s="7" t="s">
        <v>48</v>
      </c>
      <c r="C7" s="7" t="n">
        <v>3</v>
      </c>
      <c r="D7" s="7" t="s">
        <v>49</v>
      </c>
      <c r="E7" s="7" t="s">
        <v>43</v>
      </c>
      <c r="F7" s="7" t="s">
        <v>44</v>
      </c>
      <c r="G7" s="7" t="s">
        <v>50</v>
      </c>
      <c r="H7" s="7" t="s">
        <v>51</v>
      </c>
      <c r="I7" s="7" t="s">
        <v>52</v>
      </c>
    </row>
    <row r="8" customFormat="false" ht="15" hidden="false" customHeight="false" outlineLevel="0" collapsed="false">
      <c r="A8" s="7" t="n">
        <v>3</v>
      </c>
      <c r="B8" s="7" t="s">
        <v>53</v>
      </c>
      <c r="C8" s="7" t="n">
        <v>3</v>
      </c>
      <c r="D8" s="7" t="s">
        <v>54</v>
      </c>
      <c r="E8" s="7" t="s">
        <v>55</v>
      </c>
      <c r="F8" s="7" t="s">
        <v>44</v>
      </c>
      <c r="G8" s="7" t="s">
        <v>56</v>
      </c>
      <c r="H8" s="7" t="s">
        <v>57</v>
      </c>
      <c r="I8" s="7" t="s">
        <v>58</v>
      </c>
    </row>
    <row r="9" customFormat="false" ht="15" hidden="false" customHeight="false" outlineLevel="0" collapsed="false">
      <c r="A9" s="7" t="n">
        <v>4</v>
      </c>
      <c r="B9" s="7" t="s">
        <v>59</v>
      </c>
      <c r="C9" s="7" t="n">
        <v>2</v>
      </c>
      <c r="D9" s="7" t="s">
        <v>54</v>
      </c>
      <c r="E9" s="7" t="s">
        <v>55</v>
      </c>
      <c r="F9" s="7" t="s">
        <v>44</v>
      </c>
      <c r="G9" s="7" t="s">
        <v>56</v>
      </c>
      <c r="H9" s="7" t="s">
        <v>60</v>
      </c>
      <c r="I9" s="7" t="s">
        <v>61</v>
      </c>
    </row>
    <row r="10" customFormat="false" ht="15" hidden="false" customHeight="false" outlineLevel="0" collapsed="false">
      <c r="A10" s="7" t="n">
        <v>5</v>
      </c>
      <c r="B10" s="7" t="s">
        <v>62</v>
      </c>
      <c r="C10" s="7" t="n">
        <v>3</v>
      </c>
      <c r="D10" s="7" t="s">
        <v>63</v>
      </c>
      <c r="E10" s="7" t="s">
        <v>64</v>
      </c>
      <c r="F10" s="7" t="s">
        <v>65</v>
      </c>
      <c r="G10" s="7" t="s">
        <v>66</v>
      </c>
      <c r="H10" s="7" t="s">
        <v>67</v>
      </c>
      <c r="I10" s="7" t="s">
        <v>68</v>
      </c>
    </row>
    <row r="11" customFormat="false" ht="15" hidden="false" customHeight="false" outlineLevel="0" collapsed="false">
      <c r="A11" s="7" t="n">
        <v>6</v>
      </c>
      <c r="B11" s="7" t="s">
        <v>69</v>
      </c>
      <c r="C11" s="7" t="n">
        <v>2</v>
      </c>
      <c r="D11" s="7" t="s">
        <v>70</v>
      </c>
      <c r="E11" s="7" t="s">
        <v>71</v>
      </c>
      <c r="F11" s="7" t="s">
        <v>44</v>
      </c>
      <c r="G11" s="7" t="s">
        <v>72</v>
      </c>
      <c r="H11" s="7" t="s">
        <v>73</v>
      </c>
      <c r="I11" s="7" t="s">
        <v>74</v>
      </c>
    </row>
    <row r="12" customFormat="false" ht="15" hidden="false" customHeight="false" outlineLevel="0" collapsed="false">
      <c r="B12" s="8" t="s">
        <v>75</v>
      </c>
      <c r="C12" s="8" t="n">
        <f aca="false">SUM(C6:C11)</f>
        <v>16</v>
      </c>
    </row>
    <row r="14" customFormat="false" ht="15" hidden="false" customHeight="false" outlineLevel="0" collapsed="false">
      <c r="A14" s="5" t="s">
        <v>76</v>
      </c>
    </row>
    <row r="15" customFormat="false" ht="23.85" hidden="false" customHeight="false" outlineLevel="0" collapsed="false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6" t="s">
        <v>38</v>
      </c>
      <c r="H15" s="6" t="s">
        <v>39</v>
      </c>
      <c r="I15" s="6" t="s">
        <v>40</v>
      </c>
    </row>
    <row r="16" customFormat="false" ht="15" hidden="false" customHeight="false" outlineLevel="0" collapsed="false">
      <c r="A16" s="7" t="n">
        <v>1</v>
      </c>
      <c r="B16" s="7" t="s">
        <v>77</v>
      </c>
      <c r="C16" s="7" t="n">
        <v>3</v>
      </c>
      <c r="D16" s="7" t="s">
        <v>49</v>
      </c>
      <c r="E16" s="7" t="s">
        <v>43</v>
      </c>
      <c r="F16" s="7" t="s">
        <v>44</v>
      </c>
      <c r="G16" s="7" t="s">
        <v>78</v>
      </c>
      <c r="H16" s="7" t="s">
        <v>79</v>
      </c>
      <c r="I16" s="7" t="s">
        <v>80</v>
      </c>
    </row>
    <row r="17" customFormat="false" ht="15" hidden="false" customHeight="false" outlineLevel="0" collapsed="false">
      <c r="A17" s="7" t="n">
        <v>2</v>
      </c>
      <c r="B17" s="7" t="s">
        <v>81</v>
      </c>
      <c r="C17" s="7" t="n">
        <v>3</v>
      </c>
      <c r="D17" s="7" t="s">
        <v>54</v>
      </c>
      <c r="E17" s="7" t="s">
        <v>55</v>
      </c>
      <c r="F17" s="7" t="s">
        <v>44</v>
      </c>
      <c r="G17" s="7" t="s">
        <v>56</v>
      </c>
      <c r="H17" s="7" t="s">
        <v>82</v>
      </c>
      <c r="I17" s="7" t="s">
        <v>83</v>
      </c>
    </row>
    <row r="18" customFormat="false" ht="15" hidden="false" customHeight="false" outlineLevel="0" collapsed="false">
      <c r="A18" s="7" t="n">
        <v>3</v>
      </c>
      <c r="B18" s="7" t="s">
        <v>84</v>
      </c>
      <c r="C18" s="7" t="n">
        <v>3</v>
      </c>
      <c r="D18" s="7" t="s">
        <v>85</v>
      </c>
      <c r="E18" s="7" t="s">
        <v>55</v>
      </c>
      <c r="F18" s="7" t="s">
        <v>44</v>
      </c>
      <c r="G18" s="7" t="s">
        <v>86</v>
      </c>
      <c r="H18" s="7" t="s">
        <v>87</v>
      </c>
      <c r="I18" s="7" t="s">
        <v>88</v>
      </c>
    </row>
    <row r="19" customFormat="false" ht="15" hidden="false" customHeight="false" outlineLevel="0" collapsed="false">
      <c r="A19" s="7" t="n">
        <v>4</v>
      </c>
      <c r="B19" s="7" t="s">
        <v>89</v>
      </c>
      <c r="C19" s="7" t="n">
        <v>3</v>
      </c>
      <c r="D19" s="7" t="s">
        <v>54</v>
      </c>
      <c r="E19" s="7" t="s">
        <v>90</v>
      </c>
      <c r="F19" s="7" t="s">
        <v>44</v>
      </c>
      <c r="G19" s="7" t="s">
        <v>56</v>
      </c>
      <c r="H19" s="7" t="s">
        <v>91</v>
      </c>
      <c r="I19" s="7" t="s">
        <v>92</v>
      </c>
    </row>
    <row r="20" customFormat="false" ht="15" hidden="false" customHeight="false" outlineLevel="0" collapsed="false">
      <c r="A20" s="7" t="n">
        <v>5</v>
      </c>
      <c r="B20" s="7" t="s">
        <v>93</v>
      </c>
      <c r="C20" s="7" t="n">
        <v>4</v>
      </c>
      <c r="D20" s="7" t="s">
        <v>70</v>
      </c>
      <c r="E20" s="7" t="s">
        <v>71</v>
      </c>
      <c r="F20" s="7" t="s">
        <v>44</v>
      </c>
      <c r="G20" s="7" t="s">
        <v>94</v>
      </c>
      <c r="H20" s="7" t="s">
        <v>95</v>
      </c>
      <c r="I20" s="7" t="s">
        <v>96</v>
      </c>
    </row>
    <row r="21" customFormat="false" ht="15" hidden="false" customHeight="false" outlineLevel="0" collapsed="false">
      <c r="A21" s="7" t="n">
        <v>6</v>
      </c>
      <c r="B21" s="7" t="s">
        <v>97</v>
      </c>
      <c r="C21" s="7" t="n">
        <v>3</v>
      </c>
      <c r="D21" s="7" t="s">
        <v>70</v>
      </c>
      <c r="E21" s="7" t="s">
        <v>71</v>
      </c>
      <c r="F21" s="7" t="s">
        <v>44</v>
      </c>
      <c r="G21" s="7" t="s">
        <v>56</v>
      </c>
      <c r="H21" s="7" t="s">
        <v>98</v>
      </c>
      <c r="I21" s="7" t="s">
        <v>99</v>
      </c>
    </row>
    <row r="22" customFormat="false" ht="15" hidden="false" customHeight="false" outlineLevel="0" collapsed="false">
      <c r="B22" s="8" t="s">
        <v>75</v>
      </c>
      <c r="C22" s="8" t="n">
        <f aca="false">SUM(C16:C21)</f>
        <v>19</v>
      </c>
    </row>
    <row r="24" customFormat="false" ht="15" hidden="false" customHeight="false" outlineLevel="0" collapsed="false">
      <c r="A24" s="5" t="s">
        <v>100</v>
      </c>
    </row>
    <row r="25" customFormat="false" ht="23.85" hidden="false" customHeight="false" outlineLevel="0" collapsed="false">
      <c r="A25" s="6" t="s">
        <v>32</v>
      </c>
      <c r="B25" s="6" t="s">
        <v>33</v>
      </c>
      <c r="C25" s="6" t="s">
        <v>34</v>
      </c>
      <c r="D25" s="6" t="s">
        <v>35</v>
      </c>
      <c r="E25" s="6" t="s">
        <v>36</v>
      </c>
      <c r="F25" s="6" t="s">
        <v>37</v>
      </c>
      <c r="G25" s="6" t="s">
        <v>38</v>
      </c>
      <c r="H25" s="6" t="s">
        <v>39</v>
      </c>
      <c r="I25" s="6" t="s">
        <v>40</v>
      </c>
    </row>
    <row r="26" customFormat="false" ht="15" hidden="false" customHeight="false" outlineLevel="0" collapsed="false">
      <c r="A26" s="7" t="n">
        <v>1</v>
      </c>
      <c r="B26" s="7" t="s">
        <v>101</v>
      </c>
      <c r="C26" s="7" t="n">
        <v>4</v>
      </c>
      <c r="D26" s="7" t="s">
        <v>42</v>
      </c>
      <c r="E26" s="7" t="s">
        <v>43</v>
      </c>
      <c r="F26" s="7" t="s">
        <v>44</v>
      </c>
      <c r="G26" s="7" t="s">
        <v>102</v>
      </c>
      <c r="H26" s="7" t="s">
        <v>103</v>
      </c>
      <c r="I26" s="7" t="s">
        <v>104</v>
      </c>
    </row>
    <row r="27" customFormat="false" ht="15" hidden="false" customHeight="false" outlineLevel="0" collapsed="false">
      <c r="A27" s="7" t="n">
        <v>2</v>
      </c>
      <c r="B27" s="7" t="s">
        <v>105</v>
      </c>
      <c r="C27" s="7" t="n">
        <v>3</v>
      </c>
      <c r="D27" s="7" t="s">
        <v>54</v>
      </c>
      <c r="E27" s="7" t="s">
        <v>55</v>
      </c>
      <c r="F27" s="7" t="s">
        <v>65</v>
      </c>
      <c r="G27" s="7" t="s">
        <v>106</v>
      </c>
      <c r="H27" s="7" t="s">
        <v>107</v>
      </c>
      <c r="I27" s="7" t="s">
        <v>59</v>
      </c>
    </row>
    <row r="28" customFormat="false" ht="15" hidden="false" customHeight="false" outlineLevel="0" collapsed="false">
      <c r="A28" s="7" t="n">
        <v>3</v>
      </c>
      <c r="B28" s="7" t="s">
        <v>108</v>
      </c>
      <c r="C28" s="7" t="n">
        <v>3</v>
      </c>
      <c r="D28" s="7" t="s">
        <v>70</v>
      </c>
      <c r="E28" s="7" t="s">
        <v>90</v>
      </c>
      <c r="F28" s="7" t="s">
        <v>44</v>
      </c>
      <c r="G28" s="7" t="s">
        <v>109</v>
      </c>
      <c r="H28" s="7" t="s">
        <v>110</v>
      </c>
      <c r="I28" s="7" t="s">
        <v>111</v>
      </c>
    </row>
    <row r="29" customFormat="false" ht="15" hidden="false" customHeight="false" outlineLevel="0" collapsed="false">
      <c r="A29" s="7" t="n">
        <v>4</v>
      </c>
      <c r="B29" s="7" t="s">
        <v>112</v>
      </c>
      <c r="C29" s="7" t="n">
        <v>4</v>
      </c>
      <c r="D29" s="7" t="s">
        <v>63</v>
      </c>
      <c r="E29" s="7" t="s">
        <v>71</v>
      </c>
      <c r="F29" s="7" t="s">
        <v>44</v>
      </c>
      <c r="G29" s="7" t="s">
        <v>56</v>
      </c>
      <c r="H29" s="7" t="s">
        <v>113</v>
      </c>
      <c r="I29" s="7" t="s">
        <v>114</v>
      </c>
    </row>
    <row r="30" customFormat="false" ht="15" hidden="false" customHeight="false" outlineLevel="0" collapsed="false">
      <c r="A30" s="7" t="n">
        <v>5</v>
      </c>
      <c r="B30" s="7" t="s">
        <v>115</v>
      </c>
      <c r="C30" s="7" t="n">
        <v>3</v>
      </c>
      <c r="D30" s="7" t="s">
        <v>70</v>
      </c>
      <c r="E30" s="7" t="s">
        <v>64</v>
      </c>
      <c r="F30" s="7" t="s">
        <v>44</v>
      </c>
      <c r="G30" s="7" t="s">
        <v>116</v>
      </c>
      <c r="H30" s="7" t="s">
        <v>117</v>
      </c>
      <c r="I30" s="7" t="s">
        <v>118</v>
      </c>
    </row>
    <row r="31" customFormat="false" ht="15" hidden="false" customHeight="false" outlineLevel="0" collapsed="false">
      <c r="B31" s="8" t="s">
        <v>75</v>
      </c>
      <c r="C31" s="8" t="n">
        <f aca="false">SUM(C26:C30)</f>
        <v>17</v>
      </c>
    </row>
    <row r="33" customFormat="false" ht="15" hidden="false" customHeight="false" outlineLevel="0" collapsed="false">
      <c r="A33" s="5" t="s">
        <v>119</v>
      </c>
    </row>
    <row r="34" customFormat="false" ht="23.85" hidden="false" customHeight="false" outlineLevel="0" collapsed="false">
      <c r="A34" s="6" t="s">
        <v>32</v>
      </c>
      <c r="B34" s="6" t="s">
        <v>33</v>
      </c>
      <c r="C34" s="6" t="s">
        <v>34</v>
      </c>
      <c r="D34" s="6" t="s">
        <v>35</v>
      </c>
      <c r="E34" s="6" t="s">
        <v>36</v>
      </c>
      <c r="F34" s="6" t="s">
        <v>37</v>
      </c>
      <c r="G34" s="6" t="s">
        <v>38</v>
      </c>
      <c r="H34" s="6" t="s">
        <v>39</v>
      </c>
      <c r="I34" s="6" t="s">
        <v>40</v>
      </c>
    </row>
    <row r="35" customFormat="false" ht="15" hidden="false" customHeight="false" outlineLevel="0" collapsed="false">
      <c r="A35" s="7" t="n">
        <v>1</v>
      </c>
      <c r="B35" s="7" t="s">
        <v>120</v>
      </c>
      <c r="C35" s="7" t="n">
        <v>3</v>
      </c>
      <c r="D35" s="7" t="s">
        <v>49</v>
      </c>
      <c r="E35" s="7" t="s">
        <v>43</v>
      </c>
      <c r="F35" s="7" t="s">
        <v>65</v>
      </c>
      <c r="G35" s="7" t="s">
        <v>121</v>
      </c>
      <c r="H35" s="7" t="s">
        <v>122</v>
      </c>
      <c r="I35" s="7" t="s">
        <v>123</v>
      </c>
    </row>
    <row r="36" customFormat="false" ht="15" hidden="false" customHeight="false" outlineLevel="0" collapsed="false">
      <c r="A36" s="7" t="n">
        <v>2</v>
      </c>
      <c r="B36" s="7" t="s">
        <v>124</v>
      </c>
      <c r="C36" s="7" t="n">
        <v>3</v>
      </c>
      <c r="D36" s="7" t="s">
        <v>54</v>
      </c>
      <c r="E36" s="7" t="s">
        <v>55</v>
      </c>
      <c r="F36" s="7" t="s">
        <v>44</v>
      </c>
      <c r="G36" s="7" t="s">
        <v>50</v>
      </c>
      <c r="H36" s="7" t="s">
        <v>125</v>
      </c>
      <c r="I36" s="7" t="s">
        <v>126</v>
      </c>
    </row>
    <row r="37" customFormat="false" ht="15" hidden="false" customHeight="false" outlineLevel="0" collapsed="false">
      <c r="A37" s="7" t="n">
        <v>3</v>
      </c>
      <c r="B37" s="7" t="s">
        <v>127</v>
      </c>
      <c r="C37" s="7" t="n">
        <v>3</v>
      </c>
      <c r="D37" s="7" t="s">
        <v>85</v>
      </c>
      <c r="E37" s="7" t="s">
        <v>90</v>
      </c>
      <c r="F37" s="7" t="s">
        <v>65</v>
      </c>
      <c r="G37" s="7" t="s">
        <v>128</v>
      </c>
      <c r="H37" s="7" t="s">
        <v>129</v>
      </c>
      <c r="I37" s="7" t="s">
        <v>130</v>
      </c>
    </row>
    <row r="38" customFormat="false" ht="15" hidden="false" customHeight="false" outlineLevel="0" collapsed="false">
      <c r="A38" s="7" t="n">
        <v>4</v>
      </c>
      <c r="B38" s="7" t="s">
        <v>131</v>
      </c>
      <c r="C38" s="7" t="n">
        <v>3</v>
      </c>
      <c r="D38" s="7" t="s">
        <v>132</v>
      </c>
      <c r="E38" s="7" t="s">
        <v>71</v>
      </c>
      <c r="F38" s="7" t="s">
        <v>65</v>
      </c>
      <c r="G38" s="7" t="s">
        <v>133</v>
      </c>
      <c r="H38" s="7" t="s">
        <v>134</v>
      </c>
      <c r="I38" s="7" t="s">
        <v>135</v>
      </c>
    </row>
    <row r="39" customFormat="false" ht="23.85" hidden="false" customHeight="false" outlineLevel="0" collapsed="false">
      <c r="A39" s="7" t="n">
        <v>5</v>
      </c>
      <c r="B39" s="7" t="s">
        <v>136</v>
      </c>
      <c r="C39" s="7" t="n">
        <v>3</v>
      </c>
      <c r="D39" s="7" t="s">
        <v>54</v>
      </c>
      <c r="E39" s="7" t="s">
        <v>71</v>
      </c>
      <c r="F39" s="7" t="s">
        <v>65</v>
      </c>
      <c r="G39" s="7" t="s">
        <v>137</v>
      </c>
      <c r="H39" s="7" t="s">
        <v>138</v>
      </c>
      <c r="I39" s="7" t="s">
        <v>139</v>
      </c>
    </row>
    <row r="40" customFormat="false" ht="15" hidden="false" customHeight="false" outlineLevel="0" collapsed="false">
      <c r="A40" s="7" t="n">
        <v>6</v>
      </c>
      <c r="B40" s="7" t="s">
        <v>140</v>
      </c>
      <c r="C40" s="7" t="n">
        <v>3</v>
      </c>
      <c r="D40" s="7" t="s">
        <v>85</v>
      </c>
      <c r="E40" s="7" t="s">
        <v>64</v>
      </c>
      <c r="F40" s="7" t="s">
        <v>65</v>
      </c>
      <c r="G40" s="7" t="s">
        <v>141</v>
      </c>
      <c r="H40" s="7" t="s">
        <v>142</v>
      </c>
      <c r="I40" s="7" t="s">
        <v>143</v>
      </c>
    </row>
    <row r="41" customFormat="false" ht="15" hidden="false" customHeight="false" outlineLevel="0" collapsed="false">
      <c r="B41" s="8" t="s">
        <v>75</v>
      </c>
      <c r="C41" s="8" t="n">
        <f aca="false">SUM(C35:C40)</f>
        <v>18</v>
      </c>
    </row>
    <row r="43" customFormat="false" ht="15" hidden="false" customHeight="false" outlineLevel="0" collapsed="false">
      <c r="A43" s="5" t="s">
        <v>144</v>
      </c>
    </row>
    <row r="44" customFormat="false" ht="23.85" hidden="false" customHeight="false" outlineLevel="0" collapsed="false">
      <c r="A44" s="6" t="s">
        <v>32</v>
      </c>
      <c r="B44" s="6" t="s">
        <v>33</v>
      </c>
      <c r="C44" s="6" t="s">
        <v>34</v>
      </c>
      <c r="D44" s="6" t="s">
        <v>35</v>
      </c>
      <c r="E44" s="6" t="s">
        <v>36</v>
      </c>
      <c r="F44" s="6" t="s">
        <v>37</v>
      </c>
      <c r="G44" s="6" t="s">
        <v>38</v>
      </c>
      <c r="H44" s="6" t="s">
        <v>39</v>
      </c>
      <c r="I44" s="6" t="s">
        <v>40</v>
      </c>
    </row>
    <row r="45" customFormat="false" ht="15" hidden="false" customHeight="false" outlineLevel="0" collapsed="false">
      <c r="A45" s="7" t="n">
        <v>1</v>
      </c>
      <c r="B45" s="7" t="s">
        <v>80</v>
      </c>
      <c r="C45" s="7" t="n">
        <v>3</v>
      </c>
      <c r="D45" s="7" t="s">
        <v>49</v>
      </c>
      <c r="E45" s="7" t="s">
        <v>43</v>
      </c>
      <c r="F45" s="7" t="s">
        <v>44</v>
      </c>
      <c r="G45" s="7" t="s">
        <v>56</v>
      </c>
      <c r="H45" s="7" t="s">
        <v>145</v>
      </c>
      <c r="I45" s="7" t="s">
        <v>77</v>
      </c>
    </row>
    <row r="46" customFormat="false" ht="15" hidden="false" customHeight="false" outlineLevel="0" collapsed="false">
      <c r="A46" s="7" t="n">
        <v>2</v>
      </c>
      <c r="B46" s="7" t="s">
        <v>146</v>
      </c>
      <c r="C46" s="7" t="n">
        <v>3</v>
      </c>
      <c r="D46" s="7" t="s">
        <v>70</v>
      </c>
      <c r="E46" s="7" t="s">
        <v>90</v>
      </c>
      <c r="F46" s="7" t="s">
        <v>44</v>
      </c>
      <c r="G46" s="7" t="s">
        <v>56</v>
      </c>
      <c r="H46" s="7" t="s">
        <v>147</v>
      </c>
      <c r="I46" s="7" t="s">
        <v>81</v>
      </c>
    </row>
    <row r="47" customFormat="false" ht="15" hidden="false" customHeight="false" outlineLevel="0" collapsed="false">
      <c r="A47" s="7" t="n">
        <v>3</v>
      </c>
      <c r="B47" s="7" t="s">
        <v>148</v>
      </c>
      <c r="C47" s="7" t="n">
        <v>3</v>
      </c>
      <c r="D47" s="7" t="s">
        <v>54</v>
      </c>
      <c r="E47" s="7" t="s">
        <v>90</v>
      </c>
      <c r="F47" s="7" t="s">
        <v>65</v>
      </c>
      <c r="G47" s="7" t="s">
        <v>149</v>
      </c>
      <c r="H47" s="7" t="s">
        <v>150</v>
      </c>
      <c r="I47" s="7" t="s">
        <v>151</v>
      </c>
    </row>
    <row r="48" customFormat="false" ht="15" hidden="false" customHeight="false" outlineLevel="0" collapsed="false">
      <c r="A48" s="7" t="n">
        <v>4</v>
      </c>
      <c r="B48" s="7" t="s">
        <v>152</v>
      </c>
      <c r="C48" s="7" t="n">
        <v>3</v>
      </c>
      <c r="D48" s="7" t="s">
        <v>132</v>
      </c>
      <c r="E48" s="7" t="s">
        <v>64</v>
      </c>
      <c r="F48" s="7" t="s">
        <v>44</v>
      </c>
      <c r="G48" s="7" t="s">
        <v>86</v>
      </c>
      <c r="H48" s="7" t="s">
        <v>153</v>
      </c>
      <c r="I48" s="7" t="s">
        <v>88</v>
      </c>
    </row>
    <row r="49" customFormat="false" ht="15" hidden="false" customHeight="false" outlineLevel="0" collapsed="false">
      <c r="A49" s="7" t="n">
        <v>5</v>
      </c>
      <c r="B49" s="7" t="s">
        <v>154</v>
      </c>
      <c r="C49" s="7" t="n">
        <v>4</v>
      </c>
      <c r="D49" s="7" t="s">
        <v>70</v>
      </c>
      <c r="E49" s="7" t="s">
        <v>71</v>
      </c>
      <c r="F49" s="7" t="s">
        <v>44</v>
      </c>
      <c r="G49" s="7" t="s">
        <v>155</v>
      </c>
      <c r="H49" s="7" t="s">
        <v>156</v>
      </c>
      <c r="I49" s="7" t="s">
        <v>157</v>
      </c>
    </row>
    <row r="50" customFormat="false" ht="15" hidden="false" customHeight="false" outlineLevel="0" collapsed="false">
      <c r="A50" s="7" t="n">
        <v>6</v>
      </c>
      <c r="B50" s="7" t="s">
        <v>158</v>
      </c>
      <c r="C50" s="7" t="n">
        <v>2</v>
      </c>
      <c r="D50" s="7" t="s">
        <v>159</v>
      </c>
      <c r="E50" s="7" t="s">
        <v>160</v>
      </c>
      <c r="F50" s="7" t="s">
        <v>65</v>
      </c>
      <c r="G50" s="7" t="s">
        <v>137</v>
      </c>
      <c r="H50" s="7" t="s">
        <v>161</v>
      </c>
      <c r="I50" s="7" t="s">
        <v>162</v>
      </c>
    </row>
    <row r="51" customFormat="false" ht="15" hidden="false" customHeight="false" outlineLevel="0" collapsed="false">
      <c r="B51" s="8" t="s">
        <v>75</v>
      </c>
      <c r="C51" s="8" t="n">
        <f aca="false">SUM(C45:C50)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6" t="s">
        <v>164</v>
      </c>
      <c r="B3" s="6" t="s">
        <v>34</v>
      </c>
      <c r="C3" s="6" t="s">
        <v>165</v>
      </c>
    </row>
    <row r="4" customFormat="false" ht="15" hidden="false" customHeight="false" outlineLevel="0" collapsed="false">
      <c r="A4" s="7" t="s">
        <v>166</v>
      </c>
      <c r="B4" s="7" t="n">
        <v>10</v>
      </c>
      <c r="C4" s="7" t="s">
        <v>167</v>
      </c>
    </row>
    <row r="5" customFormat="false" ht="15" hidden="false" customHeight="false" outlineLevel="0" collapsed="false">
      <c r="A5" s="7" t="s">
        <v>168</v>
      </c>
      <c r="B5" s="7" t="n">
        <v>15</v>
      </c>
      <c r="C5" s="7" t="s">
        <v>169</v>
      </c>
    </row>
    <row r="6" customFormat="false" ht="23.85" hidden="false" customHeight="false" outlineLevel="0" collapsed="false">
      <c r="A6" s="7" t="s">
        <v>170</v>
      </c>
      <c r="B6" s="7" t="n">
        <v>6</v>
      </c>
      <c r="C6" s="7" t="s">
        <v>171</v>
      </c>
    </row>
    <row r="7" customFormat="false" ht="15" hidden="false" customHeight="false" outlineLevel="0" collapsed="false">
      <c r="A7" s="7" t="s">
        <v>172</v>
      </c>
      <c r="B7" s="7" t="n">
        <v>9</v>
      </c>
      <c r="C7" s="7" t="s">
        <v>173</v>
      </c>
    </row>
    <row r="8" customFormat="false" ht="15" hidden="false" customHeight="false" outlineLevel="0" collapsed="false">
      <c r="A8" s="7" t="s">
        <v>174</v>
      </c>
      <c r="B8" s="7" t="n">
        <v>15</v>
      </c>
      <c r="C8" s="7" t="s">
        <v>175</v>
      </c>
    </row>
    <row r="9" customFormat="false" ht="15" hidden="false" customHeight="false" outlineLevel="0" collapsed="false">
      <c r="A9" s="7" t="s">
        <v>176</v>
      </c>
      <c r="B9" s="7" t="n">
        <v>6</v>
      </c>
      <c r="C9" s="7" t="s">
        <v>177</v>
      </c>
    </row>
    <row r="10" customFormat="false" ht="15" hidden="false" customHeight="false" outlineLevel="0" collapsed="false">
      <c r="A10" s="7" t="s">
        <v>178</v>
      </c>
      <c r="B10" s="7" t="n">
        <v>3</v>
      </c>
      <c r="C10" s="7" t="s">
        <v>179</v>
      </c>
    </row>
    <row r="11" customFormat="false" ht="15" hidden="false" customHeight="false" outlineLevel="0" collapsed="false">
      <c r="A11" s="7" t="s">
        <v>180</v>
      </c>
      <c r="B11" s="7" t="n">
        <v>5</v>
      </c>
      <c r="C11" s="7" t="s">
        <v>181</v>
      </c>
    </row>
    <row r="12" customFormat="false" ht="15" hidden="false" customHeight="false" outlineLevel="0" collapsed="false">
      <c r="A12" s="7" t="s">
        <v>182</v>
      </c>
      <c r="B12" s="7" t="n">
        <v>5</v>
      </c>
      <c r="C12" s="7" t="s">
        <v>183</v>
      </c>
    </row>
    <row r="13" customFormat="false" ht="15" hidden="false" customHeight="false" outlineLevel="0" collapsed="false">
      <c r="A13" s="7" t="s">
        <v>184</v>
      </c>
      <c r="B13" s="7" t="n">
        <v>8</v>
      </c>
      <c r="C13" s="7" t="s">
        <v>185</v>
      </c>
    </row>
    <row r="14" customFormat="false" ht="15" hidden="false" customHeight="false" outlineLevel="0" collapsed="false">
      <c r="A14" s="7" t="s">
        <v>186</v>
      </c>
      <c r="B14" s="7" t="n">
        <v>5</v>
      </c>
      <c r="C14" s="7" t="s">
        <v>187</v>
      </c>
    </row>
    <row r="15" customFormat="false" ht="15" hidden="false" customHeight="false" outlineLevel="0" collapsed="false">
      <c r="A15" s="8" t="s">
        <v>188</v>
      </c>
      <c r="B15" s="8" t="n">
        <f aca="false">SUM(B4:B14)</f>
        <v>87</v>
      </c>
    </row>
    <row r="17" customFormat="false" ht="15" hidden="false" customHeight="false" outlineLevel="0" collapsed="false">
      <c r="A17" s="4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4" t="s">
        <v>191</v>
      </c>
    </row>
    <row r="4" customFormat="false" ht="15" hidden="false" customHeight="false" outlineLevel="0" collapsed="false">
      <c r="A4" s="6" t="s">
        <v>192</v>
      </c>
      <c r="B4" s="6" t="s">
        <v>33</v>
      </c>
      <c r="C4" s="6" t="s">
        <v>193</v>
      </c>
      <c r="D4" s="6" t="s">
        <v>194</v>
      </c>
      <c r="E4" s="6" t="s">
        <v>195</v>
      </c>
      <c r="F4" s="6" t="s">
        <v>196</v>
      </c>
    </row>
    <row r="5" customFormat="false" ht="15" hidden="false" customHeight="false" outlineLevel="0" collapsed="false">
      <c r="A5" s="9" t="n">
        <v>46300</v>
      </c>
      <c r="B5" s="10" t="s">
        <v>197</v>
      </c>
      <c r="C5" s="10" t="n">
        <v>30</v>
      </c>
      <c r="D5" s="10" t="n">
        <v>10</v>
      </c>
      <c r="E5" s="10" t="n">
        <v>13</v>
      </c>
      <c r="F5" s="11" t="n">
        <f aca="false">IF(AND(ISNUMBER(D5),ISNUMBER(E5)),E5-D5,"")</f>
        <v>3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1" t="str">
        <f aca="false">IF(AND(ISNUMBER(D6),ISNUMBER(E6)),E6-D6,"")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1" t="str">
        <f aca="false">IF(AND(ISNUMBER(D7),ISNUMBER(E7)),E7-D7,"")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1" t="str">
        <f aca="false">IF(AND(ISNUMBER(D8),ISNUMBER(E8)),E8-D8,"")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1" t="str">
        <f aca="false">IF(AND(ISNUMBER(D9),ISNUMBER(E9)),E9-D9,"")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1" t="str">
        <f aca="false">IF(AND(ISNUMBER(D10),ISNUMBER(E10)),E10-D10,"")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1" t="str">
        <f aca="false">IF(AND(ISNUMBER(D11),ISNUMBER(E11)),E11-D11,"")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1" t="str">
        <f aca="false">IF(AND(ISNUMBER(D12),ISNUMBER(E12)),E12-D12,"")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1" t="str">
        <f aca="false">IF(AND(ISNUMBER(D13),ISNUMBER(E13)),E13-D13,"")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1" t="str">
        <f aca="false">IF(AND(ISNUMBER(D14),ISNUMBER(E14)),E14-D14,"")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1" t="str">
        <f aca="false">IF(AND(ISNUMBER(D15),ISNUMBER(E15)),E15-D15,"")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1" t="str">
        <f aca="false">IF(AND(ISNUMBER(D16),ISNUMBER(E16)),E16-D16,"")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1" t="str">
        <f aca="false">IF(AND(ISNUMBER(D17),ISNUMBER(E17)),E17-D17,"")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1" t="str">
        <f aca="false">IF(AND(ISNUMBER(D18),ISNUMBER(E18)),E18-D18,"")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1" t="str">
        <f aca="false">IF(AND(ISNUMBER(D19),ISNUMBER(E19)),E19-D19,"")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 t="str">
        <f aca="false">IF(AND(ISNUMBER(D20),ISNUMBER(E20)),E20-D20,"")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1" t="str">
        <f aca="false">IF(AND(ISNUMBER(D21),ISNUMBER(E21)),E21-D21,"")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1" t="str">
        <f aca="false">IF(AND(ISNUMBER(D22),ISNUMBER(E22)),E22-D22,"")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1" t="str">
        <f aca="false">IF(AND(ISNUMBER(D23),ISNUMBER(E23)),E23-D23,"")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1" t="str">
        <f aca="false">IF(AND(ISNUMBER(D24),ISNUMBER(E24)),E24-D24,"")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1" t="str">
        <f aca="false">IF(AND(ISNUMBER(D25),ISNUMBER(E25)),E25-D25,"")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1" t="str">
        <f aca="false">IF(AND(ISNUMBER(D26),ISNUMBER(E26)),E26-D26,"")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1" t="str">
        <f aca="false">IF(AND(ISNUMBER(D27),ISNUMBER(E27)),E27-D27,"")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1" t="str">
        <f aca="false">IF(AND(ISNUMBER(D28),ISNUMBER(E28)),E28-D28,"")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1" t="str">
        <f aca="false">IF(AND(ISNUMBER(D29),ISNUMBER(E29)),E29-D29,"")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1" t="str">
        <f aca="false">IF(AND(ISNUMBER(D30),ISNUMBER(E30)),E30-D30,"")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1" t="str">
        <f aca="false">IF(AND(ISNUMBER(D31),ISNUMBER(E31)),E31-D31,"")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1" t="str">
        <f aca="false">IF(AND(ISNUMBER(D32),ISNUMBER(E32)),E32-D32,"")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1" t="str">
        <f aca="false">IF(AND(ISNUMBER(D33),ISNUMBER(E33)),E33-D33,"")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1" t="str">
        <f aca="false">IF(AND(ISNUMBER(D34),ISNUMBER(E34)),E34-D34,"")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1" t="str">
        <f aca="false">IF(AND(ISNUMBER(D35),ISNUMBER(E35)),E35-D35,"")</f>
        <v/>
      </c>
    </row>
    <row r="37" customFormat="false" ht="15" hidden="false" customHeight="false" outlineLevel="0" collapsed="false">
      <c r="B37" s="8" t="s">
        <v>198</v>
      </c>
      <c r="F37" s="8" t="n">
        <f aca="false">IFERROR(AVERAGE(F5:F35),"")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4" t="s">
        <v>200</v>
      </c>
    </row>
    <row r="4" customFormat="false" ht="15" hidden="false" customHeight="false" outlineLevel="0" collapsed="false">
      <c r="A4" s="6" t="s">
        <v>192</v>
      </c>
      <c r="B4" s="6" t="s">
        <v>201</v>
      </c>
      <c r="C4" s="6" t="s">
        <v>5</v>
      </c>
      <c r="D4" s="6" t="s">
        <v>33</v>
      </c>
      <c r="E4" s="6" t="s">
        <v>202</v>
      </c>
      <c r="F4" s="6" t="s">
        <v>193</v>
      </c>
      <c r="G4" s="6" t="s">
        <v>35</v>
      </c>
      <c r="H4" s="6" t="s">
        <v>203</v>
      </c>
      <c r="I4" s="6" t="s">
        <v>204</v>
      </c>
      <c r="J4" s="6" t="s">
        <v>205</v>
      </c>
    </row>
    <row r="5" customFormat="false" ht="15" hidden="false" customHeight="false" outlineLevel="0" collapsed="false">
      <c r="A5" s="9" t="n">
        <v>46300</v>
      </c>
      <c r="B5" s="10" t="s">
        <v>206</v>
      </c>
      <c r="C5" s="10" t="n">
        <v>1</v>
      </c>
      <c r="D5" s="10" t="s">
        <v>207</v>
      </c>
      <c r="E5" s="10" t="n">
        <v>1</v>
      </c>
      <c r="F5" s="10" t="n">
        <v>45</v>
      </c>
      <c r="G5" s="10" t="n">
        <v>9</v>
      </c>
      <c r="H5" s="10"/>
      <c r="I5" s="12" t="n">
        <f aca="false">IF(AND(ISNUMBER(F5),ISNUMBER(G5),G5&gt;0),ROUND(F5*(1+G5/30),1),"")</f>
        <v>58.5</v>
      </c>
      <c r="J5" s="10" t="s">
        <v>208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2" t="str">
        <f aca="false">IF(AND(ISNUMBER(F6),ISNUMBER(G6),G6&gt;0),ROUND(F6*(1+G6/30),1),"")</f>
        <v/>
      </c>
      <c r="J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2" t="str">
        <f aca="false">IF(AND(ISNUMBER(F7),ISNUMBER(G7),G7&gt;0),ROUND(F7*(1+G7/30),1),"")</f>
        <v/>
      </c>
      <c r="J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2" t="str">
        <f aca="false">IF(AND(ISNUMBER(F8),ISNUMBER(G8),G8&gt;0),ROUND(F8*(1+G8/30),1),"")</f>
        <v/>
      </c>
      <c r="J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2" t="str">
        <f aca="false">IF(AND(ISNUMBER(F9),ISNUMBER(G9),G9&gt;0),ROUND(F9*(1+G9/30),1),"")</f>
        <v/>
      </c>
      <c r="J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2" t="str">
        <f aca="false">IF(AND(ISNUMBER(F10),ISNUMBER(G10),G10&gt;0),ROUND(F10*(1+G10/30),1),"")</f>
        <v/>
      </c>
      <c r="J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2" t="str">
        <f aca="false">IF(AND(ISNUMBER(F11),ISNUMBER(G11),G11&gt;0),ROUND(F11*(1+G11/30),1),"")</f>
        <v/>
      </c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2" t="str">
        <f aca="false">IF(AND(ISNUMBER(F12),ISNUMBER(G12),G12&gt;0),ROUND(F12*(1+G12/30),1),"")</f>
        <v/>
      </c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2" t="str">
        <f aca="false">IF(AND(ISNUMBER(F13),ISNUMBER(G13),G13&gt;0),ROUND(F13*(1+G13/30),1),"")</f>
        <v/>
      </c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2" t="str">
        <f aca="false">IF(AND(ISNUMBER(F14),ISNUMBER(G14),G14&gt;0),ROUND(F14*(1+G14/30),1),"")</f>
        <v/>
      </c>
      <c r="J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2" t="str">
        <f aca="false">IF(AND(ISNUMBER(F15),ISNUMBER(G15),G15&gt;0),ROUND(F15*(1+G15/30),1),"")</f>
        <v/>
      </c>
      <c r="J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2" t="str">
        <f aca="false">IF(AND(ISNUMBER(F16),ISNUMBER(G16),G16&gt;0),ROUND(F16*(1+G16/30),1),"")</f>
        <v/>
      </c>
      <c r="J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2" t="str">
        <f aca="false">IF(AND(ISNUMBER(F17),ISNUMBER(G17),G17&gt;0),ROUND(F17*(1+G17/30),1),"")</f>
        <v/>
      </c>
      <c r="J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2" t="str">
        <f aca="false">IF(AND(ISNUMBER(F18),ISNUMBER(G18),G18&gt;0),ROUND(F18*(1+G18/30),1),"")</f>
        <v/>
      </c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2" t="str">
        <f aca="false">IF(AND(ISNUMBER(F19),ISNUMBER(G19),G19&gt;0),ROUND(F19*(1+G19/30),1),"")</f>
        <v/>
      </c>
      <c r="J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2" t="str">
        <f aca="false">IF(AND(ISNUMBER(F20),ISNUMBER(G20),G20&gt;0),ROUND(F20*(1+G20/30),1),"")</f>
        <v/>
      </c>
      <c r="J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2" t="str">
        <f aca="false">IF(AND(ISNUMBER(F21),ISNUMBER(G21),G21&gt;0),ROUND(F21*(1+G21/30),1),"")</f>
        <v/>
      </c>
      <c r="J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2" t="str">
        <f aca="false">IF(AND(ISNUMBER(F22),ISNUMBER(G22),G22&gt;0),ROUND(F22*(1+G22/30),1),"")</f>
        <v/>
      </c>
      <c r="J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2" t="str">
        <f aca="false">IF(AND(ISNUMBER(F23),ISNUMBER(G23),G23&gt;0),ROUND(F23*(1+G23/30),1),"")</f>
        <v/>
      </c>
      <c r="J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2" t="str">
        <f aca="false">IF(AND(ISNUMBER(F24),ISNUMBER(G24),G24&gt;0),ROUND(F24*(1+G24/30),1),"")</f>
        <v/>
      </c>
      <c r="J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2" t="str">
        <f aca="false">IF(AND(ISNUMBER(F25),ISNUMBER(G25),G25&gt;0),ROUND(F25*(1+G25/30),1),"")</f>
        <v/>
      </c>
      <c r="J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2" t="str">
        <f aca="false">IF(AND(ISNUMBER(F26),ISNUMBER(G26),G26&gt;0),ROUND(F26*(1+G26/30),1),"")</f>
        <v/>
      </c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2" t="str">
        <f aca="false">IF(AND(ISNUMBER(F27),ISNUMBER(G27),G27&gt;0),ROUND(F27*(1+G27/30),1),"")</f>
        <v/>
      </c>
      <c r="J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2" t="str">
        <f aca="false">IF(AND(ISNUMBER(F28),ISNUMBER(G28),G28&gt;0),ROUND(F28*(1+G28/30),1),"")</f>
        <v/>
      </c>
      <c r="J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2" t="str">
        <f aca="false">IF(AND(ISNUMBER(F29),ISNUMBER(G29),G29&gt;0),ROUND(F29*(1+G29/30),1),"")</f>
        <v/>
      </c>
      <c r="J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2" t="str">
        <f aca="false">IF(AND(ISNUMBER(F30),ISNUMBER(G30),G30&gt;0),ROUND(F30*(1+G30/30),1),"")</f>
        <v/>
      </c>
      <c r="J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2" t="str">
        <f aca="false">IF(AND(ISNUMBER(F31),ISNUMBER(G31),G31&gt;0),ROUND(F31*(1+G31/30),1),"")</f>
        <v/>
      </c>
      <c r="J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2" t="str">
        <f aca="false">IF(AND(ISNUMBER(F32),ISNUMBER(G32),G32&gt;0),ROUND(F32*(1+G32/30),1),"")</f>
        <v/>
      </c>
      <c r="J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2" t="str">
        <f aca="false">IF(AND(ISNUMBER(F33),ISNUMBER(G33),G33&gt;0),ROUND(F33*(1+G33/30),1),"")</f>
        <v/>
      </c>
      <c r="J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2" t="str">
        <f aca="false">IF(AND(ISNUMBER(F34),ISNUMBER(G34),G34&gt;0),ROUND(F34*(1+G34/30),1),"")</f>
        <v/>
      </c>
      <c r="J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2" t="str">
        <f aca="false">IF(AND(ISNUMBER(F35),ISNUMBER(G35),G35&gt;0),ROUND(F35*(1+G35/30),1),"")</f>
        <v/>
      </c>
      <c r="J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2" t="str">
        <f aca="false">IF(AND(ISNUMBER(F36),ISNUMBER(G36),G36&gt;0),ROUND(F36*(1+G36/30),1),"")</f>
        <v/>
      </c>
      <c r="J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2" t="str">
        <f aca="false">IF(AND(ISNUMBER(F37),ISNUMBER(G37),G37&gt;0),ROUND(F37*(1+G37/30),1),"")</f>
        <v/>
      </c>
      <c r="J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2" t="str">
        <f aca="false">IF(AND(ISNUMBER(F38),ISNUMBER(G38),G38&gt;0),ROUND(F38*(1+G38/30),1),"")</f>
        <v/>
      </c>
      <c r="J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2" t="str">
        <f aca="false">IF(AND(ISNUMBER(F39),ISNUMBER(G39),G39&gt;0),ROUND(F39*(1+G39/30),1),"")</f>
        <v/>
      </c>
      <c r="J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2" t="str">
        <f aca="false">IF(AND(ISNUMBER(F40),ISNUMBER(G40),G40&gt;0),ROUND(F40*(1+G40/30),1),"")</f>
        <v/>
      </c>
      <c r="J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2" t="str">
        <f aca="false">IF(AND(ISNUMBER(F41),ISNUMBER(G41),G41&gt;0),ROUND(F41*(1+G41/30),1),"")</f>
        <v/>
      </c>
      <c r="J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2" t="str">
        <f aca="false">IF(AND(ISNUMBER(F42),ISNUMBER(G42),G42&gt;0),ROUND(F42*(1+G42/30),1),"")</f>
        <v/>
      </c>
      <c r="J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2" t="str">
        <f aca="false">IF(AND(ISNUMBER(F43),ISNUMBER(G43),G43&gt;0),ROUND(F43*(1+G43/30),1),"")</f>
        <v/>
      </c>
      <c r="J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2" t="str">
        <f aca="false">IF(AND(ISNUMBER(F44),ISNUMBER(G44),G44&gt;0),ROUND(F44*(1+G44/30),1),"")</f>
        <v/>
      </c>
      <c r="J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2" t="str">
        <f aca="false">IF(AND(ISNUMBER(F45),ISNUMBER(G45),G45&gt;0),ROUND(F45*(1+G45/30),1),"")</f>
        <v/>
      </c>
      <c r="J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2" t="str">
        <f aca="false">IF(AND(ISNUMBER(F46),ISNUMBER(G46),G46&gt;0),ROUND(F46*(1+G46/30),1),"")</f>
        <v/>
      </c>
      <c r="J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2" t="str">
        <f aca="false">IF(AND(ISNUMBER(F47),ISNUMBER(G47),G47&gt;0),ROUND(F47*(1+G47/30),1),"")</f>
        <v/>
      </c>
      <c r="J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2" t="str">
        <f aca="false">IF(AND(ISNUMBER(F48),ISNUMBER(G48),G48&gt;0),ROUND(F48*(1+G48/30),1),"")</f>
        <v/>
      </c>
      <c r="J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2" t="str">
        <f aca="false">IF(AND(ISNUMBER(F49),ISNUMBER(G49),G49&gt;0),ROUND(F49*(1+G49/30),1),"")</f>
        <v/>
      </c>
      <c r="J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2" t="str">
        <f aca="false">IF(AND(ISNUMBER(F50),ISNUMBER(G50),G50&gt;0),ROUND(F50*(1+G50/30),1),"")</f>
        <v/>
      </c>
      <c r="J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2" t="str">
        <f aca="false">IF(AND(ISNUMBER(F51),ISNUMBER(G51),G51&gt;0),ROUND(F51*(1+G51/30),1),"")</f>
        <v/>
      </c>
      <c r="J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2" t="str">
        <f aca="false">IF(AND(ISNUMBER(F52),ISNUMBER(G52),G52&gt;0),ROUND(F52*(1+G52/30),1),"")</f>
        <v/>
      </c>
      <c r="J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2" t="str">
        <f aca="false">IF(AND(ISNUMBER(F53),ISNUMBER(G53),G53&gt;0),ROUND(F53*(1+G53/30),1),"")</f>
        <v/>
      </c>
      <c r="J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2" t="str">
        <f aca="false">IF(AND(ISNUMBER(F54),ISNUMBER(G54),G54&gt;0),ROUND(F54*(1+G54/30),1),"")</f>
        <v/>
      </c>
      <c r="J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2" t="str">
        <f aca="false">IF(AND(ISNUMBER(F55),ISNUMBER(G55),G55&gt;0),ROUND(F55*(1+G55/30),1),"")</f>
        <v/>
      </c>
      <c r="J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2" t="str">
        <f aca="false">IF(AND(ISNUMBER(F56),ISNUMBER(G56),G56&gt;0),ROUND(F56*(1+G56/30),1),"")</f>
        <v/>
      </c>
      <c r="J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2" t="str">
        <f aca="false">IF(AND(ISNUMBER(F57),ISNUMBER(G57),G57&gt;0),ROUND(F57*(1+G57/30),1),"")</f>
        <v/>
      </c>
      <c r="J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2" t="str">
        <f aca="false">IF(AND(ISNUMBER(F58),ISNUMBER(G58),G58&gt;0),ROUND(F58*(1+G58/30),1),"")</f>
        <v/>
      </c>
      <c r="J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2" t="str">
        <f aca="false">IF(AND(ISNUMBER(F59),ISNUMBER(G59),G59&gt;0),ROUND(F59*(1+G59/30),1),"")</f>
        <v/>
      </c>
      <c r="J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2" t="str">
        <f aca="false">IF(AND(ISNUMBER(F60),ISNUMBER(G60),G60&gt;0),ROUND(F60*(1+G60/30),1),"")</f>
        <v/>
      </c>
      <c r="J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2" t="str">
        <f aca="false">IF(AND(ISNUMBER(F61),ISNUMBER(G61),G61&gt;0),ROUND(F61*(1+G61/30),1),"")</f>
        <v/>
      </c>
      <c r="J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2" t="str">
        <f aca="false">IF(AND(ISNUMBER(F62),ISNUMBER(G62),G62&gt;0),ROUND(F62*(1+G62/30),1),"")</f>
        <v/>
      </c>
      <c r="J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2" t="str">
        <f aca="false">IF(AND(ISNUMBER(F63),ISNUMBER(G63),G63&gt;0),ROUND(F63*(1+G63/30),1),"")</f>
        <v/>
      </c>
      <c r="J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2" t="str">
        <f aca="false">IF(AND(ISNUMBER(F64),ISNUMBER(G64),G64&gt;0),ROUND(F64*(1+G64/30),1),"")</f>
        <v/>
      </c>
      <c r="J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2" t="str">
        <f aca="false">IF(AND(ISNUMBER(F65),ISNUMBER(G65),G65&gt;0),ROUND(F65*(1+G65/30),1),"")</f>
        <v/>
      </c>
      <c r="J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2" t="str">
        <f aca="false">IF(AND(ISNUMBER(F66),ISNUMBER(G66),G66&gt;0),ROUND(F66*(1+G66/30),1),"")</f>
        <v/>
      </c>
      <c r="J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2" t="str">
        <f aca="false">IF(AND(ISNUMBER(F67),ISNUMBER(G67),G67&gt;0),ROUND(F67*(1+G67/30),1),"")</f>
        <v/>
      </c>
      <c r="J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2" t="str">
        <f aca="false">IF(AND(ISNUMBER(F68),ISNUMBER(G68),G68&gt;0),ROUND(F68*(1+G68/30),1),"")</f>
        <v/>
      </c>
      <c r="J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2" t="str">
        <f aca="false">IF(AND(ISNUMBER(F69),ISNUMBER(G69),G69&gt;0),ROUND(F69*(1+G69/30),1),"")</f>
        <v/>
      </c>
      <c r="J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2" t="str">
        <f aca="false">IF(AND(ISNUMBER(F70),ISNUMBER(G70),G70&gt;0),ROUND(F70*(1+G70/30),1),"")</f>
        <v/>
      </c>
      <c r="J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2" t="str">
        <f aca="false">IF(AND(ISNUMBER(F71),ISNUMBER(G71),G71&gt;0),ROUND(F71*(1+G71/30),1),"")</f>
        <v/>
      </c>
      <c r="J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2" t="str">
        <f aca="false">IF(AND(ISNUMBER(F72),ISNUMBER(G72),G72&gt;0),ROUND(F72*(1+G72/30),1),"")</f>
        <v/>
      </c>
      <c r="J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2" t="str">
        <f aca="false">IF(AND(ISNUMBER(F73),ISNUMBER(G73),G73&gt;0),ROUND(F73*(1+G73/30),1),"")</f>
        <v/>
      </c>
      <c r="J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2" t="str">
        <f aca="false">IF(AND(ISNUMBER(F74),ISNUMBER(G74),G74&gt;0),ROUND(F74*(1+G74/30),1),"")</f>
        <v/>
      </c>
      <c r="J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2" t="str">
        <f aca="false">IF(AND(ISNUMBER(F75),ISNUMBER(G75),G75&gt;0),ROUND(F75*(1+G75/30),1),"")</f>
        <v/>
      </c>
      <c r="J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2" t="str">
        <f aca="false">IF(AND(ISNUMBER(F76),ISNUMBER(G76),G76&gt;0),ROUND(F76*(1+G76/30),1),"")</f>
        <v/>
      </c>
      <c r="J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2" t="str">
        <f aca="false">IF(AND(ISNUMBER(F77),ISNUMBER(G77),G77&gt;0),ROUND(F77*(1+G77/30),1),"")</f>
        <v/>
      </c>
      <c r="J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2" t="str">
        <f aca="false">IF(AND(ISNUMBER(F78),ISNUMBER(G78),G78&gt;0),ROUND(F78*(1+G78/30),1),"")</f>
        <v/>
      </c>
      <c r="J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2" t="str">
        <f aca="false">IF(AND(ISNUMBER(F79),ISNUMBER(G79),G79&gt;0),ROUND(F79*(1+G79/30),1),"")</f>
        <v/>
      </c>
      <c r="J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2" t="str">
        <f aca="false">IF(AND(ISNUMBER(F80),ISNUMBER(G80),G80&gt;0),ROUND(F80*(1+G80/30),1),"")</f>
        <v/>
      </c>
      <c r="J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2" t="str">
        <f aca="false">IF(AND(ISNUMBER(F81),ISNUMBER(G81),G81&gt;0),ROUND(F81*(1+G81/30),1),"")</f>
        <v/>
      </c>
      <c r="J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2" t="str">
        <f aca="false">IF(AND(ISNUMBER(F82),ISNUMBER(G82),G82&gt;0),ROUND(F82*(1+G82/30),1),"")</f>
        <v/>
      </c>
      <c r="J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2" t="str">
        <f aca="false">IF(AND(ISNUMBER(F83),ISNUMBER(G83),G83&gt;0),ROUND(F83*(1+G83/30),1),"")</f>
        <v/>
      </c>
      <c r="J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2" t="str">
        <f aca="false">IF(AND(ISNUMBER(F84),ISNUMBER(G84),G84&gt;0),ROUND(F84*(1+G84/30),1),"")</f>
        <v/>
      </c>
      <c r="J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2" t="str">
        <f aca="false">IF(AND(ISNUMBER(F85),ISNUMBER(G85),G85&gt;0),ROUND(F85*(1+G85/30),1),"")</f>
        <v/>
      </c>
      <c r="J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2" t="str">
        <f aca="false">IF(AND(ISNUMBER(F86),ISNUMBER(G86),G86&gt;0),ROUND(F86*(1+G86/30),1),"")</f>
        <v/>
      </c>
      <c r="J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2" t="str">
        <f aca="false">IF(AND(ISNUMBER(F87),ISNUMBER(G87),G87&gt;0),ROUND(F87*(1+G87/30),1),"")</f>
        <v/>
      </c>
      <c r="J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2" t="str">
        <f aca="false">IF(AND(ISNUMBER(F88),ISNUMBER(G88),G88&gt;0),ROUND(F88*(1+G88/30),1),"")</f>
        <v/>
      </c>
      <c r="J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2" t="str">
        <f aca="false">IF(AND(ISNUMBER(F89),ISNUMBER(G89),G89&gt;0),ROUND(F89*(1+G89/30),1),"")</f>
        <v/>
      </c>
      <c r="J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2" t="str">
        <f aca="false">IF(AND(ISNUMBER(F90),ISNUMBER(G90),G90&gt;0),ROUND(F90*(1+G90/30),1),"")</f>
        <v/>
      </c>
      <c r="J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2" t="str">
        <f aca="false">IF(AND(ISNUMBER(F91),ISNUMBER(G91),G91&gt;0),ROUND(F91*(1+G91/30),1),"")</f>
        <v/>
      </c>
      <c r="J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2" t="str">
        <f aca="false">IF(AND(ISNUMBER(F92),ISNUMBER(G92),G92&gt;0),ROUND(F92*(1+G92/30),1),"")</f>
        <v/>
      </c>
      <c r="J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2" t="str">
        <f aca="false">IF(AND(ISNUMBER(F93),ISNUMBER(G93),G93&gt;0),ROUND(F93*(1+G93/30),1),"")</f>
        <v/>
      </c>
      <c r="J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2" t="str">
        <f aca="false">IF(AND(ISNUMBER(F94),ISNUMBER(G94),G94&gt;0),ROUND(F94*(1+G94/30),1),"")</f>
        <v/>
      </c>
      <c r="J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2" t="str">
        <f aca="false">IF(AND(ISNUMBER(F95),ISNUMBER(G95),G95&gt;0),ROUND(F95*(1+G95/30),1),"")</f>
        <v/>
      </c>
      <c r="J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2" t="str">
        <f aca="false">IF(AND(ISNUMBER(F96),ISNUMBER(G96),G96&gt;0),ROUND(F96*(1+G96/30),1),"")</f>
        <v/>
      </c>
      <c r="J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2" t="str">
        <f aca="false">IF(AND(ISNUMBER(F97),ISNUMBER(G97),G97&gt;0),ROUND(F97*(1+G97/30),1),"")</f>
        <v/>
      </c>
      <c r="J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2" t="str">
        <f aca="false">IF(AND(ISNUMBER(F98),ISNUMBER(G98),G98&gt;0),ROUND(F98*(1+G98/30),1),"")</f>
        <v/>
      </c>
      <c r="J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2" t="str">
        <f aca="false">IF(AND(ISNUMBER(F99),ISNUMBER(G99),G99&gt;0),ROUND(F99*(1+G99/30),1),"")</f>
        <v/>
      </c>
      <c r="J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2" t="str">
        <f aca="false">IF(AND(ISNUMBER(F100),ISNUMBER(G100),G100&gt;0),ROUND(F100*(1+G100/30),1),"")</f>
        <v/>
      </c>
      <c r="J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2" t="str">
        <f aca="false">IF(AND(ISNUMBER(F101),ISNUMBER(G101),G101&gt;0),ROUND(F101*(1+G101/30),1),"")</f>
        <v/>
      </c>
      <c r="J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2" t="str">
        <f aca="false">IF(AND(ISNUMBER(F102),ISNUMBER(G102),G102&gt;0),ROUND(F102*(1+G102/30),1),"")</f>
        <v/>
      </c>
      <c r="J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2" t="str">
        <f aca="false">IF(AND(ISNUMBER(F103),ISNUMBER(G103),G103&gt;0),ROUND(F103*(1+G103/30),1),"")</f>
        <v/>
      </c>
      <c r="J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2" t="str">
        <f aca="false">IF(AND(ISNUMBER(F104),ISNUMBER(G104),G104&gt;0),ROUND(F104*(1+G104/30),1),"")</f>
        <v/>
      </c>
      <c r="J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2" t="str">
        <f aca="false">IF(AND(ISNUMBER(F105),ISNUMBER(G105),G105&gt;0),ROUND(F105*(1+G105/30),1),"")</f>
        <v/>
      </c>
      <c r="J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2" t="str">
        <f aca="false">IF(AND(ISNUMBER(F106),ISNUMBER(G106),G106&gt;0),ROUND(F106*(1+G106/30),1),"")</f>
        <v/>
      </c>
      <c r="J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2" t="str">
        <f aca="false">IF(AND(ISNUMBER(F107),ISNUMBER(G107),G107&gt;0),ROUND(F107*(1+G107/30),1),"")</f>
        <v/>
      </c>
      <c r="J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2" t="str">
        <f aca="false">IF(AND(ISNUMBER(F108),ISNUMBER(G108),G108&gt;0),ROUND(F108*(1+G108/30),1),"")</f>
        <v/>
      </c>
      <c r="J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2" t="str">
        <f aca="false">IF(AND(ISNUMBER(F109),ISNUMBER(G109),G109&gt;0),ROUND(F109*(1+G109/30),1),"")</f>
        <v/>
      </c>
      <c r="J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2" t="str">
        <f aca="false">IF(AND(ISNUMBER(F110),ISNUMBER(G110),G110&gt;0),ROUND(F110*(1+G110/30),1),"")</f>
        <v/>
      </c>
      <c r="J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2" t="str">
        <f aca="false">IF(AND(ISNUMBER(F111),ISNUMBER(G111),G111&gt;0),ROUND(F111*(1+G111/30),1),"")</f>
        <v/>
      </c>
      <c r="J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2" t="str">
        <f aca="false">IF(AND(ISNUMBER(F112),ISNUMBER(G112),G112&gt;0),ROUND(F112*(1+G112/30),1),"")</f>
        <v/>
      </c>
      <c r="J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2" t="str">
        <f aca="false">IF(AND(ISNUMBER(F113),ISNUMBER(G113),G113&gt;0),ROUND(F113*(1+G113/30),1),"")</f>
        <v/>
      </c>
      <c r="J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2" t="str">
        <f aca="false">IF(AND(ISNUMBER(F114),ISNUMBER(G114),G114&gt;0),ROUND(F114*(1+G114/30),1),"")</f>
        <v/>
      </c>
      <c r="J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2" t="str">
        <f aca="false">IF(AND(ISNUMBER(F115),ISNUMBER(G115),G115&gt;0),ROUND(F115*(1+G115/30),1),"")</f>
        <v/>
      </c>
      <c r="J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2" t="str">
        <f aca="false">IF(AND(ISNUMBER(F116),ISNUMBER(G116),G116&gt;0),ROUND(F116*(1+G116/30),1),"")</f>
        <v/>
      </c>
      <c r="J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2" t="str">
        <f aca="false">IF(AND(ISNUMBER(F117),ISNUMBER(G117),G117&gt;0),ROUND(F117*(1+G117/30),1),"")</f>
        <v/>
      </c>
      <c r="J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2" t="str">
        <f aca="false">IF(AND(ISNUMBER(F118),ISNUMBER(G118),G118&gt;0),ROUND(F118*(1+G118/30),1),"")</f>
        <v/>
      </c>
      <c r="J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2" t="str">
        <f aca="false">IF(AND(ISNUMBER(F119),ISNUMBER(G119),G119&gt;0),ROUND(F119*(1+G119/30),1),"")</f>
        <v/>
      </c>
      <c r="J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2" t="str">
        <f aca="false">IF(AND(ISNUMBER(F120),ISNUMBER(G120),G120&gt;0),ROUND(F120*(1+G120/30),1),"")</f>
        <v/>
      </c>
      <c r="J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2" t="str">
        <f aca="false">IF(AND(ISNUMBER(F121),ISNUMBER(G121),G121&gt;0),ROUND(F121*(1+G121/30),1),"")</f>
        <v/>
      </c>
      <c r="J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2" t="str">
        <f aca="false">IF(AND(ISNUMBER(F122),ISNUMBER(G122),G122&gt;0),ROUND(F122*(1+G122/30),1),"")</f>
        <v/>
      </c>
      <c r="J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2" t="str">
        <f aca="false">IF(AND(ISNUMBER(F123),ISNUMBER(G123),G123&gt;0),ROUND(F123*(1+G123/30),1),"")</f>
        <v/>
      </c>
      <c r="J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2" t="str">
        <f aca="false">IF(AND(ISNUMBER(F124),ISNUMBER(G124),G124&gt;0),ROUND(F124*(1+G124/30),1),"")</f>
        <v/>
      </c>
      <c r="J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2" t="str">
        <f aca="false">IF(AND(ISNUMBER(F125),ISNUMBER(G125),G125&gt;0),ROUND(F125*(1+G125/30),1),"")</f>
        <v/>
      </c>
      <c r="J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2" t="str">
        <f aca="false">IF(AND(ISNUMBER(F126),ISNUMBER(G126),G126&gt;0),ROUND(F126*(1+G126/30),1),"")</f>
        <v/>
      </c>
      <c r="J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2" t="str">
        <f aca="false">IF(AND(ISNUMBER(F127),ISNUMBER(G127),G127&gt;0),ROUND(F127*(1+G127/30),1),"")</f>
        <v/>
      </c>
      <c r="J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2" t="str">
        <f aca="false">IF(AND(ISNUMBER(F128),ISNUMBER(G128),G128&gt;0),ROUND(F128*(1+G128/30),1),"")</f>
        <v/>
      </c>
      <c r="J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2" t="str">
        <f aca="false">IF(AND(ISNUMBER(F129),ISNUMBER(G129),G129&gt;0),ROUND(F129*(1+G129/30),1),"")</f>
        <v/>
      </c>
      <c r="J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2" t="str">
        <f aca="false">IF(AND(ISNUMBER(F130),ISNUMBER(G130),G130&gt;0),ROUND(F130*(1+G130/30),1),"")</f>
        <v/>
      </c>
      <c r="J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2" t="str">
        <f aca="false">IF(AND(ISNUMBER(F131),ISNUMBER(G131),G131&gt;0),ROUND(F131*(1+G131/30),1),"")</f>
        <v/>
      </c>
      <c r="J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2" t="str">
        <f aca="false">IF(AND(ISNUMBER(F132),ISNUMBER(G132),G132&gt;0),ROUND(F132*(1+G132/30),1),"")</f>
        <v/>
      </c>
      <c r="J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2" t="str">
        <f aca="false">IF(AND(ISNUMBER(F133),ISNUMBER(G133),G133&gt;0),ROUND(F133*(1+G133/30),1),"")</f>
        <v/>
      </c>
      <c r="J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2" t="str">
        <f aca="false">IF(AND(ISNUMBER(F134),ISNUMBER(G134),G134&gt;0),ROUND(F134*(1+G134/30),1),"")</f>
        <v/>
      </c>
      <c r="J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2" t="str">
        <f aca="false">IF(AND(ISNUMBER(F135),ISNUMBER(G135),G135&gt;0),ROUND(F135*(1+G135/30),1),"")</f>
        <v/>
      </c>
      <c r="J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2" t="str">
        <f aca="false">IF(AND(ISNUMBER(F136),ISNUMBER(G136),G136&gt;0),ROUND(F136*(1+G136/30),1),"")</f>
        <v/>
      </c>
      <c r="J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2" t="str">
        <f aca="false">IF(AND(ISNUMBER(F137),ISNUMBER(G137),G137&gt;0),ROUND(F137*(1+G137/30),1),"")</f>
        <v/>
      </c>
      <c r="J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2" t="str">
        <f aca="false">IF(AND(ISNUMBER(F138),ISNUMBER(G138),G138&gt;0),ROUND(F138*(1+G138/30),1),"")</f>
        <v/>
      </c>
      <c r="J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2" t="str">
        <f aca="false">IF(AND(ISNUMBER(F139),ISNUMBER(G139),G139&gt;0),ROUND(F139*(1+G139/30),1),"")</f>
        <v/>
      </c>
      <c r="J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2" t="str">
        <f aca="false">IF(AND(ISNUMBER(F140),ISNUMBER(G140),G140&gt;0),ROUND(F140*(1+G140/30),1),"")</f>
        <v/>
      </c>
      <c r="J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2" t="str">
        <f aca="false">IF(AND(ISNUMBER(F141),ISNUMBER(G141),G141&gt;0),ROUND(F141*(1+G141/30),1),"")</f>
        <v/>
      </c>
      <c r="J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2" t="str">
        <f aca="false">IF(AND(ISNUMBER(F142),ISNUMBER(G142),G142&gt;0),ROUND(F142*(1+G142/30),1),"")</f>
        <v/>
      </c>
      <c r="J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2" t="str">
        <f aca="false">IF(AND(ISNUMBER(F143),ISNUMBER(G143),G143&gt;0),ROUND(F143*(1+G143/30),1),"")</f>
        <v/>
      </c>
      <c r="J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2" t="str">
        <f aca="false">IF(AND(ISNUMBER(F144),ISNUMBER(G144),G144&gt;0),ROUND(F144*(1+G144/30),1),"")</f>
        <v/>
      </c>
      <c r="J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2" t="str">
        <f aca="false">IF(AND(ISNUMBER(F145),ISNUMBER(G145),G145&gt;0),ROUND(F145*(1+G145/30),1),"")</f>
        <v/>
      </c>
      <c r="J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2" t="str">
        <f aca="false">IF(AND(ISNUMBER(F146),ISNUMBER(G146),G146&gt;0),ROUND(F146*(1+G146/30),1),"")</f>
        <v/>
      </c>
      <c r="J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2" t="str">
        <f aca="false">IF(AND(ISNUMBER(F147),ISNUMBER(G147),G147&gt;0),ROUND(F147*(1+G147/30),1),"")</f>
        <v/>
      </c>
      <c r="J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2" t="str">
        <f aca="false">IF(AND(ISNUMBER(F148),ISNUMBER(G148),G148&gt;0),ROUND(F148*(1+G148/30),1),"")</f>
        <v/>
      </c>
      <c r="J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2" t="str">
        <f aca="false">IF(AND(ISNUMBER(F149),ISNUMBER(G149),G149&gt;0),ROUND(F149*(1+G149/30),1),"")</f>
        <v/>
      </c>
      <c r="J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2" t="str">
        <f aca="false">IF(AND(ISNUMBER(F150),ISNUMBER(G150),G150&gt;0),ROUND(F150*(1+G150/30),1),"")</f>
        <v/>
      </c>
      <c r="J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2" t="str">
        <f aca="false">IF(AND(ISNUMBER(F151),ISNUMBER(G151),G151&gt;0),ROUND(F151*(1+G151/30),1),"")</f>
        <v/>
      </c>
      <c r="J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2" t="str">
        <f aca="false">IF(AND(ISNUMBER(F152),ISNUMBER(G152),G152&gt;0),ROUND(F152*(1+G152/30),1),"")</f>
        <v/>
      </c>
      <c r="J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2" t="str">
        <f aca="false">IF(AND(ISNUMBER(F153),ISNUMBER(G153),G153&gt;0),ROUND(F153*(1+G153/30),1),"")</f>
        <v/>
      </c>
      <c r="J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2" t="str">
        <f aca="false">IF(AND(ISNUMBER(F154),ISNUMBER(G154),G154&gt;0),ROUND(F154*(1+G154/30),1),"")</f>
        <v/>
      </c>
      <c r="J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2" t="str">
        <f aca="false">IF(AND(ISNUMBER(F155),ISNUMBER(G155),G155&gt;0),ROUND(F155*(1+G155/30),1),"")</f>
        <v/>
      </c>
      <c r="J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2" t="str">
        <f aca="false">IF(AND(ISNUMBER(F156),ISNUMBER(G156),G156&gt;0),ROUND(F156*(1+G156/30),1),"")</f>
        <v/>
      </c>
      <c r="J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2" t="str">
        <f aca="false">IF(AND(ISNUMBER(F157),ISNUMBER(G157),G157&gt;0),ROUND(F157*(1+G157/30),1),"")</f>
        <v/>
      </c>
      <c r="J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2" t="str">
        <f aca="false">IF(AND(ISNUMBER(F158),ISNUMBER(G158),G158&gt;0),ROUND(F158*(1+G158/30),1),"")</f>
        <v/>
      </c>
      <c r="J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2" t="str">
        <f aca="false">IF(AND(ISNUMBER(F159),ISNUMBER(G159),G159&gt;0),ROUND(F159*(1+G159/30),1),"")</f>
        <v/>
      </c>
      <c r="J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2" t="str">
        <f aca="false">IF(AND(ISNUMBER(F160),ISNUMBER(G160),G160&gt;0),ROUND(F160*(1+G160/30),1),"")</f>
        <v/>
      </c>
      <c r="J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2" t="str">
        <f aca="false">IF(AND(ISNUMBER(F161),ISNUMBER(G161),G161&gt;0),ROUND(F161*(1+G161/30),1),"")</f>
        <v/>
      </c>
      <c r="J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2" t="str">
        <f aca="false">IF(AND(ISNUMBER(F162),ISNUMBER(G162),G162&gt;0),ROUND(F162*(1+G162/30),1),"")</f>
        <v/>
      </c>
      <c r="J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2" t="str">
        <f aca="false">IF(AND(ISNUMBER(F163),ISNUMBER(G163),G163&gt;0),ROUND(F163*(1+G163/30),1),"")</f>
        <v/>
      </c>
      <c r="J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2" t="str">
        <f aca="false">IF(AND(ISNUMBER(F164),ISNUMBER(G164),G164&gt;0),ROUND(F164*(1+G164/30),1),"")</f>
        <v/>
      </c>
      <c r="J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2" t="str">
        <f aca="false">IF(AND(ISNUMBER(F165),ISNUMBER(G165),G165&gt;0),ROUND(F165*(1+G165/30),1),"")</f>
        <v/>
      </c>
      <c r="J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2" t="str">
        <f aca="false">IF(AND(ISNUMBER(F166),ISNUMBER(G166),G166&gt;0),ROUND(F166*(1+G166/30),1),"")</f>
        <v/>
      </c>
      <c r="J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2" t="str">
        <f aca="false">IF(AND(ISNUMBER(F167),ISNUMBER(G167),G167&gt;0),ROUND(F167*(1+G167/30),1),"")</f>
        <v/>
      </c>
      <c r="J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2" t="str">
        <f aca="false">IF(AND(ISNUMBER(F168),ISNUMBER(G168),G168&gt;0),ROUND(F168*(1+G168/30),1),"")</f>
        <v/>
      </c>
      <c r="J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2" t="str">
        <f aca="false">IF(AND(ISNUMBER(F169),ISNUMBER(G169),G169&gt;0),ROUND(F169*(1+G169/30),1),"")</f>
        <v/>
      </c>
      <c r="J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2" t="str">
        <f aca="false">IF(AND(ISNUMBER(F170),ISNUMBER(G170),G170&gt;0),ROUND(F170*(1+G170/30),1),"")</f>
        <v/>
      </c>
      <c r="J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2" t="str">
        <f aca="false">IF(AND(ISNUMBER(F171),ISNUMBER(G171),G171&gt;0),ROUND(F171*(1+G171/30),1),"")</f>
        <v/>
      </c>
      <c r="J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2" t="str">
        <f aca="false">IF(AND(ISNUMBER(F172),ISNUMBER(G172),G172&gt;0),ROUND(F172*(1+G172/30),1),"")</f>
        <v/>
      </c>
      <c r="J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2" t="str">
        <f aca="false">IF(AND(ISNUMBER(F173),ISNUMBER(G173),G173&gt;0),ROUND(F173*(1+G173/30),1),"")</f>
        <v/>
      </c>
      <c r="J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2" t="str">
        <f aca="false">IF(AND(ISNUMBER(F174),ISNUMBER(G174),G174&gt;0),ROUND(F174*(1+G174/30),1),"")</f>
        <v/>
      </c>
      <c r="J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2" t="str">
        <f aca="false">IF(AND(ISNUMBER(F175),ISNUMBER(G175),G175&gt;0),ROUND(F175*(1+G175/30),1),"")</f>
        <v/>
      </c>
      <c r="J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2" t="str">
        <f aca="false">IF(AND(ISNUMBER(F176),ISNUMBER(G176),G176&gt;0),ROUND(F176*(1+G176/30),1),"")</f>
        <v/>
      </c>
      <c r="J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2" t="str">
        <f aca="false">IF(AND(ISNUMBER(F177),ISNUMBER(G177),G177&gt;0),ROUND(F177*(1+G177/30),1),"")</f>
        <v/>
      </c>
      <c r="J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2" t="str">
        <f aca="false">IF(AND(ISNUMBER(F178),ISNUMBER(G178),G178&gt;0),ROUND(F178*(1+G178/30),1),"")</f>
        <v/>
      </c>
      <c r="J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2" t="str">
        <f aca="false">IF(AND(ISNUMBER(F179),ISNUMBER(G179),G179&gt;0),ROUND(F179*(1+G179/30),1),"")</f>
        <v/>
      </c>
      <c r="J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2" t="str">
        <f aca="false">IF(AND(ISNUMBER(F180),ISNUMBER(G180),G180&gt;0),ROUND(F180*(1+G180/30),1),"")</f>
        <v/>
      </c>
      <c r="J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2" t="str">
        <f aca="false">IF(AND(ISNUMBER(F181),ISNUMBER(G181),G181&gt;0),ROUND(F181*(1+G181/30),1),"")</f>
        <v/>
      </c>
      <c r="J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2" t="str">
        <f aca="false">IF(AND(ISNUMBER(F182),ISNUMBER(G182),G182&gt;0),ROUND(F182*(1+G182/30),1),"")</f>
        <v/>
      </c>
      <c r="J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2" t="str">
        <f aca="false">IF(AND(ISNUMBER(F183),ISNUMBER(G183),G183&gt;0),ROUND(F183*(1+G183/30),1),"")</f>
        <v/>
      </c>
      <c r="J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2" t="str">
        <f aca="false">IF(AND(ISNUMBER(F184),ISNUMBER(G184),G184&gt;0),ROUND(F184*(1+G184/30),1),"")</f>
        <v/>
      </c>
      <c r="J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2" t="str">
        <f aca="false">IF(AND(ISNUMBER(F185),ISNUMBER(G185),G185&gt;0),ROUND(F185*(1+G185/30),1),"")</f>
        <v/>
      </c>
      <c r="J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2" t="str">
        <f aca="false">IF(AND(ISNUMBER(F186),ISNUMBER(G186),G186&gt;0),ROUND(F186*(1+G186/30),1),"")</f>
        <v/>
      </c>
      <c r="J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2" t="str">
        <f aca="false">IF(AND(ISNUMBER(F187),ISNUMBER(G187),G187&gt;0),ROUND(F187*(1+G187/30),1),"")</f>
        <v/>
      </c>
      <c r="J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2" t="str">
        <f aca="false">IF(AND(ISNUMBER(F188),ISNUMBER(G188),G188&gt;0),ROUND(F188*(1+G188/30),1),"")</f>
        <v/>
      </c>
      <c r="J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2" t="str">
        <f aca="false">IF(AND(ISNUMBER(F189),ISNUMBER(G189),G189&gt;0),ROUND(F189*(1+G189/30),1),"")</f>
        <v/>
      </c>
      <c r="J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2" t="str">
        <f aca="false">IF(AND(ISNUMBER(F190),ISNUMBER(G190),G190&gt;0),ROUND(F190*(1+G190/30),1),"")</f>
        <v/>
      </c>
      <c r="J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2" t="str">
        <f aca="false">IF(AND(ISNUMBER(F191),ISNUMBER(G191),G191&gt;0),ROUND(F191*(1+G191/30),1),"")</f>
        <v/>
      </c>
      <c r="J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2" t="str">
        <f aca="false">IF(AND(ISNUMBER(F192),ISNUMBER(G192),G192&gt;0),ROUND(F192*(1+G192/30),1),"")</f>
        <v/>
      </c>
      <c r="J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2" t="str">
        <f aca="false">IF(AND(ISNUMBER(F193),ISNUMBER(G193),G193&gt;0),ROUND(F193*(1+G193/30),1),"")</f>
        <v/>
      </c>
      <c r="J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2" t="str">
        <f aca="false">IF(AND(ISNUMBER(F194),ISNUMBER(G194),G194&gt;0),ROUND(F194*(1+G194/30),1),"")</f>
        <v/>
      </c>
      <c r="J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2" t="str">
        <f aca="false">IF(AND(ISNUMBER(F195),ISNUMBER(G195),G195&gt;0),ROUND(F195*(1+G195/30),1),"")</f>
        <v/>
      </c>
      <c r="J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2" t="str">
        <f aca="false">IF(AND(ISNUMBER(F196),ISNUMBER(G196),G196&gt;0),ROUND(F196*(1+G196/30),1),"")</f>
        <v/>
      </c>
      <c r="J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2" t="str">
        <f aca="false">IF(AND(ISNUMBER(F197),ISNUMBER(G197),G197&gt;0),ROUND(F197*(1+G197/30),1),"")</f>
        <v/>
      </c>
      <c r="J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2" t="str">
        <f aca="false">IF(AND(ISNUMBER(F198),ISNUMBER(G198),G198&gt;0),ROUND(F198*(1+G198/30),1),"")</f>
        <v/>
      </c>
      <c r="J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2" t="str">
        <f aca="false">IF(AND(ISNUMBER(F199),ISNUMBER(G199),G199&gt;0),ROUND(F199*(1+G199/30),1),"")</f>
        <v/>
      </c>
      <c r="J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2" t="str">
        <f aca="false">IF(AND(ISNUMBER(F200),ISNUMBER(G200),G200&gt;0),ROUND(F200*(1+G200/30),1),"")</f>
        <v/>
      </c>
      <c r="J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2" t="str">
        <f aca="false">IF(AND(ISNUMBER(F201),ISNUMBER(G201),G201&gt;0),ROUND(F201*(1+G201/30),1),"")</f>
        <v/>
      </c>
      <c r="J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2" t="str">
        <f aca="false">IF(AND(ISNUMBER(F202),ISNUMBER(G202),G202&gt;0),ROUND(F202*(1+G202/30),1),"")</f>
        <v/>
      </c>
      <c r="J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2" t="str">
        <f aca="false">IF(AND(ISNUMBER(F203),ISNUMBER(G203),G203&gt;0),ROUND(F203*(1+G203/30),1),"")</f>
        <v/>
      </c>
      <c r="J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2" t="str">
        <f aca="false">IF(AND(ISNUMBER(F204),ISNUMBER(G204),G204&gt;0),ROUND(F204*(1+G204/30),1),"")</f>
        <v/>
      </c>
      <c r="J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2" t="str">
        <f aca="false">IF(AND(ISNUMBER(F205),ISNUMBER(G205),G205&gt;0),ROUND(F205*(1+G205/30),1),"")</f>
        <v/>
      </c>
      <c r="J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2" t="str">
        <f aca="false">IF(AND(ISNUMBER(F206),ISNUMBER(G206),G206&gt;0),ROUND(F206*(1+G206/30),1),"")</f>
        <v/>
      </c>
      <c r="J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2" t="str">
        <f aca="false">IF(AND(ISNUMBER(F207),ISNUMBER(G207),G207&gt;0),ROUND(F207*(1+G207/30),1),"")</f>
        <v/>
      </c>
      <c r="J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2" t="str">
        <f aca="false">IF(AND(ISNUMBER(F208),ISNUMBER(G208),G208&gt;0),ROUND(F208*(1+G208/30),1),"")</f>
        <v/>
      </c>
      <c r="J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2" t="str">
        <f aca="false">IF(AND(ISNUMBER(F209),ISNUMBER(G209),G209&gt;0),ROUND(F209*(1+G209/30),1),"")</f>
        <v/>
      </c>
      <c r="J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2" t="str">
        <f aca="false">IF(AND(ISNUMBER(F210),ISNUMBER(G210),G210&gt;0),ROUND(F210*(1+G210/30),1),"")</f>
        <v/>
      </c>
      <c r="J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2" t="str">
        <f aca="false">IF(AND(ISNUMBER(F211),ISNUMBER(G211),G211&gt;0),ROUND(F211*(1+G211/30),1),"")</f>
        <v/>
      </c>
      <c r="J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2" t="str">
        <f aca="false">IF(AND(ISNUMBER(F212),ISNUMBER(G212),G212&gt;0),ROUND(F212*(1+G212/30),1),"")</f>
        <v/>
      </c>
      <c r="J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2" t="str">
        <f aca="false">IF(AND(ISNUMBER(F213),ISNUMBER(G213),G213&gt;0),ROUND(F213*(1+G213/30),1),"")</f>
        <v/>
      </c>
      <c r="J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2" t="str">
        <f aca="false">IF(AND(ISNUMBER(F214),ISNUMBER(G214),G214&gt;0),ROUND(F214*(1+G214/30),1),"")</f>
        <v/>
      </c>
      <c r="J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2" t="str">
        <f aca="false">IF(AND(ISNUMBER(F215),ISNUMBER(G215),G215&gt;0),ROUND(F215*(1+G215/30),1),"")</f>
        <v/>
      </c>
      <c r="J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2" t="str">
        <f aca="false">IF(AND(ISNUMBER(F216),ISNUMBER(G216),G216&gt;0),ROUND(F216*(1+G216/30),1),"")</f>
        <v/>
      </c>
      <c r="J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2" t="str">
        <f aca="false">IF(AND(ISNUMBER(F217),ISNUMBER(G217),G217&gt;0),ROUND(F217*(1+G217/30),1),"")</f>
        <v/>
      </c>
      <c r="J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2" t="str">
        <f aca="false">IF(AND(ISNUMBER(F218),ISNUMBER(G218),G218&gt;0),ROUND(F218*(1+G218/30),1),"")</f>
        <v/>
      </c>
      <c r="J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2" t="str">
        <f aca="false">IF(AND(ISNUMBER(F219),ISNUMBER(G219),G219&gt;0),ROUND(F219*(1+G219/30),1),"")</f>
        <v/>
      </c>
      <c r="J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2" t="str">
        <f aca="false">IF(AND(ISNUMBER(F220),ISNUMBER(G220),G220&gt;0),ROUND(F220*(1+G220/30),1),"")</f>
        <v/>
      </c>
      <c r="J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2" t="str">
        <f aca="false">IF(AND(ISNUMBER(F221),ISNUMBER(G221),G221&gt;0),ROUND(F221*(1+G221/30),1),"")</f>
        <v/>
      </c>
      <c r="J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2" t="str">
        <f aca="false">IF(AND(ISNUMBER(F222),ISNUMBER(G222),G222&gt;0),ROUND(F222*(1+G222/30),1),"")</f>
        <v/>
      </c>
      <c r="J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2" t="str">
        <f aca="false">IF(AND(ISNUMBER(F223),ISNUMBER(G223),G223&gt;0),ROUND(F223*(1+G223/30),1),"")</f>
        <v/>
      </c>
      <c r="J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2" t="str">
        <f aca="false">IF(AND(ISNUMBER(F224),ISNUMBER(G224),G224&gt;0),ROUND(F224*(1+G224/30),1),"")</f>
        <v/>
      </c>
      <c r="J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2" t="str">
        <f aca="false">IF(AND(ISNUMBER(F225),ISNUMBER(G225),G225&gt;0),ROUND(F225*(1+G225/30),1),"")</f>
        <v/>
      </c>
      <c r="J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2" t="str">
        <f aca="false">IF(AND(ISNUMBER(F226),ISNUMBER(G226),G226&gt;0),ROUND(F226*(1+G226/30),1),"")</f>
        <v/>
      </c>
      <c r="J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2" t="str">
        <f aca="false">IF(AND(ISNUMBER(F227),ISNUMBER(G227),G227&gt;0),ROUND(F227*(1+G227/30),1),"")</f>
        <v/>
      </c>
      <c r="J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2" t="str">
        <f aca="false">IF(AND(ISNUMBER(F228),ISNUMBER(G228),G228&gt;0),ROUND(F228*(1+G228/30),1),"")</f>
        <v/>
      </c>
      <c r="J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2" t="str">
        <f aca="false">IF(AND(ISNUMBER(F229),ISNUMBER(G229),G229&gt;0),ROUND(F229*(1+G229/30),1),"")</f>
        <v/>
      </c>
      <c r="J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2" t="str">
        <f aca="false">IF(AND(ISNUMBER(F230),ISNUMBER(G230),G230&gt;0),ROUND(F230*(1+G230/30),1),"")</f>
        <v/>
      </c>
      <c r="J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2" t="str">
        <f aca="false">IF(AND(ISNUMBER(F231),ISNUMBER(G231),G231&gt;0),ROUND(F231*(1+G231/30),1),"")</f>
        <v/>
      </c>
      <c r="J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2" t="str">
        <f aca="false">IF(AND(ISNUMBER(F232),ISNUMBER(G232),G232&gt;0),ROUND(F232*(1+G232/30),1),"")</f>
        <v/>
      </c>
      <c r="J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2" t="str">
        <f aca="false">IF(AND(ISNUMBER(F233),ISNUMBER(G233),G233&gt;0),ROUND(F233*(1+G233/30),1),"")</f>
        <v/>
      </c>
      <c r="J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2" t="str">
        <f aca="false">IF(AND(ISNUMBER(F234),ISNUMBER(G234),G234&gt;0),ROUND(F234*(1+G234/30),1),"")</f>
        <v/>
      </c>
      <c r="J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2" t="str">
        <f aca="false">IF(AND(ISNUMBER(F235),ISNUMBER(G235),G235&gt;0),ROUND(F235*(1+G235/30),1),"")</f>
        <v/>
      </c>
      <c r="J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2" t="str">
        <f aca="false">IF(AND(ISNUMBER(F236),ISNUMBER(G236),G236&gt;0),ROUND(F236*(1+G236/30),1),"")</f>
        <v/>
      </c>
      <c r="J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2" t="str">
        <f aca="false">IF(AND(ISNUMBER(F237),ISNUMBER(G237),G237&gt;0),ROUND(F237*(1+G237/30),1),"")</f>
        <v/>
      </c>
      <c r="J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2" t="str">
        <f aca="false">IF(AND(ISNUMBER(F238),ISNUMBER(G238),G238&gt;0),ROUND(F238*(1+G238/30),1),"")</f>
        <v/>
      </c>
      <c r="J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2" t="str">
        <f aca="false">IF(AND(ISNUMBER(F239),ISNUMBER(G239),G239&gt;0),ROUND(F239*(1+G239/30),1),"")</f>
        <v/>
      </c>
      <c r="J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2" t="str">
        <f aca="false">IF(AND(ISNUMBER(F240),ISNUMBER(G240),G240&gt;0),ROUND(F240*(1+G240/30),1),"")</f>
        <v/>
      </c>
      <c r="J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2" t="str">
        <f aca="false">IF(AND(ISNUMBER(F241),ISNUMBER(G241),G241&gt;0),ROUND(F241*(1+G241/30),1),"")</f>
        <v/>
      </c>
      <c r="J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2" t="str">
        <f aca="false">IF(AND(ISNUMBER(F242),ISNUMBER(G242),G242&gt;0),ROUND(F242*(1+G242/30),1),"")</f>
        <v/>
      </c>
      <c r="J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2" t="str">
        <f aca="false">IF(AND(ISNUMBER(F243),ISNUMBER(G243),G243&gt;0),ROUND(F243*(1+G243/30),1),"")</f>
        <v/>
      </c>
      <c r="J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2" t="str">
        <f aca="false">IF(AND(ISNUMBER(F244),ISNUMBER(G244),G244&gt;0),ROUND(F244*(1+G244/30),1),"")</f>
        <v/>
      </c>
      <c r="J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2" t="str">
        <f aca="false">IF(AND(ISNUMBER(F245),ISNUMBER(G245),G245&gt;0),ROUND(F245*(1+G245/30),1),"")</f>
        <v/>
      </c>
      <c r="J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2" t="str">
        <f aca="false">IF(AND(ISNUMBER(F246),ISNUMBER(G246),G246&gt;0),ROUND(F246*(1+G246/30),1),"")</f>
        <v/>
      </c>
      <c r="J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2" t="str">
        <f aca="false">IF(AND(ISNUMBER(F247),ISNUMBER(G247),G247&gt;0),ROUND(F247*(1+G247/30),1),"")</f>
        <v/>
      </c>
      <c r="J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2" t="str">
        <f aca="false">IF(AND(ISNUMBER(F248),ISNUMBER(G248),G248&gt;0),ROUND(F248*(1+G248/30),1),"")</f>
        <v/>
      </c>
      <c r="J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2" t="str">
        <f aca="false">IF(AND(ISNUMBER(F249),ISNUMBER(G249),G249&gt;0),ROUND(F249*(1+G249/30),1),"")</f>
        <v/>
      </c>
      <c r="J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2" t="str">
        <f aca="false">IF(AND(ISNUMBER(F250),ISNUMBER(G250),G250&gt;0),ROUND(F250*(1+G250/30),1),"")</f>
        <v/>
      </c>
      <c r="J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2" t="str">
        <f aca="false">IF(AND(ISNUMBER(F251),ISNUMBER(G251),G251&gt;0),ROUND(F251*(1+G251/30),1),"")</f>
        <v/>
      </c>
      <c r="J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2" t="str">
        <f aca="false">IF(AND(ISNUMBER(F252),ISNUMBER(G252),G252&gt;0),ROUND(F252*(1+G252/30),1),"")</f>
        <v/>
      </c>
      <c r="J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2" t="str">
        <f aca="false">IF(AND(ISNUMBER(F253),ISNUMBER(G253),G253&gt;0),ROUND(F253*(1+G253/30),1),"")</f>
        <v/>
      </c>
      <c r="J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2" t="str">
        <f aca="false">IF(AND(ISNUMBER(F254),ISNUMBER(G254),G254&gt;0),ROUND(F254*(1+G254/30),1),"")</f>
        <v/>
      </c>
      <c r="J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2" t="str">
        <f aca="false">IF(AND(ISNUMBER(F255),ISNUMBER(G255),G255&gt;0),ROUND(F255*(1+G255/30),1),"")</f>
        <v/>
      </c>
      <c r="J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2" t="str">
        <f aca="false">IF(AND(ISNUMBER(F256),ISNUMBER(G256),G256&gt;0),ROUND(F256*(1+G256/30),1),"")</f>
        <v/>
      </c>
      <c r="J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2" t="str">
        <f aca="false">IF(AND(ISNUMBER(F257),ISNUMBER(G257),G257&gt;0),ROUND(F257*(1+G257/30),1),"")</f>
        <v/>
      </c>
      <c r="J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2" t="str">
        <f aca="false">IF(AND(ISNUMBER(F258),ISNUMBER(G258),G258&gt;0),ROUND(F258*(1+G258/30),1),"")</f>
        <v/>
      </c>
      <c r="J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2" t="str">
        <f aca="false">IF(AND(ISNUMBER(F259),ISNUMBER(G259),G259&gt;0),ROUND(F259*(1+G259/30),1),"")</f>
        <v/>
      </c>
      <c r="J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2" t="str">
        <f aca="false">IF(AND(ISNUMBER(F260),ISNUMBER(G260),G260&gt;0),ROUND(F260*(1+G260/30),1),"")</f>
        <v/>
      </c>
      <c r="J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2" t="str">
        <f aca="false">IF(AND(ISNUMBER(F261),ISNUMBER(G261),G261&gt;0),ROUND(F261*(1+G261/30),1),"")</f>
        <v/>
      </c>
      <c r="J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2" t="str">
        <f aca="false">IF(AND(ISNUMBER(F262),ISNUMBER(G262),G262&gt;0),ROUND(F262*(1+G262/30),1),"")</f>
        <v/>
      </c>
      <c r="J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2" t="str">
        <f aca="false">IF(AND(ISNUMBER(F263),ISNUMBER(G263),G263&gt;0),ROUND(F263*(1+G263/30),1),"")</f>
        <v/>
      </c>
      <c r="J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2" t="str">
        <f aca="false">IF(AND(ISNUMBER(F264),ISNUMBER(G264),G264&gt;0),ROUND(F264*(1+G264/30),1),"")</f>
        <v/>
      </c>
      <c r="J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2" t="str">
        <f aca="false">IF(AND(ISNUMBER(F265),ISNUMBER(G265),G265&gt;0),ROUND(F265*(1+G265/30),1),"")</f>
        <v/>
      </c>
      <c r="J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2" t="str">
        <f aca="false">IF(AND(ISNUMBER(F266),ISNUMBER(G266),G266&gt;0),ROUND(F266*(1+G266/30),1),"")</f>
        <v/>
      </c>
      <c r="J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2" t="str">
        <f aca="false">IF(AND(ISNUMBER(F267),ISNUMBER(G267),G267&gt;0),ROUND(F267*(1+G267/30),1),"")</f>
        <v/>
      </c>
      <c r="J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2" t="str">
        <f aca="false">IF(AND(ISNUMBER(F268),ISNUMBER(G268),G268&gt;0),ROUND(F268*(1+G268/30),1),"")</f>
        <v/>
      </c>
      <c r="J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2" t="str">
        <f aca="false">IF(AND(ISNUMBER(F269),ISNUMBER(G269),G269&gt;0),ROUND(F269*(1+G269/30),1),"")</f>
        <v/>
      </c>
      <c r="J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2" t="str">
        <f aca="false">IF(AND(ISNUMBER(F270),ISNUMBER(G270),G270&gt;0),ROUND(F270*(1+G270/30),1),"")</f>
        <v/>
      </c>
      <c r="J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2" t="str">
        <f aca="false">IF(AND(ISNUMBER(F271),ISNUMBER(G271),G271&gt;0),ROUND(F271*(1+G271/30),1),"")</f>
        <v/>
      </c>
      <c r="J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2" t="str">
        <f aca="false">IF(AND(ISNUMBER(F272),ISNUMBER(G272),G272&gt;0),ROUND(F272*(1+G272/30),1),"")</f>
        <v/>
      </c>
      <c r="J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2" t="str">
        <f aca="false">IF(AND(ISNUMBER(F273),ISNUMBER(G273),G273&gt;0),ROUND(F273*(1+G273/30),1),"")</f>
        <v/>
      </c>
      <c r="J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2" t="str">
        <f aca="false">IF(AND(ISNUMBER(F274),ISNUMBER(G274),G274&gt;0),ROUND(F274*(1+G274/30),1),"")</f>
        <v/>
      </c>
      <c r="J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2" t="str">
        <f aca="false">IF(AND(ISNUMBER(F275),ISNUMBER(G275),G275&gt;0),ROUND(F275*(1+G275/30),1),"")</f>
        <v/>
      </c>
      <c r="J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2" t="str">
        <f aca="false">IF(AND(ISNUMBER(F276),ISNUMBER(G276),G276&gt;0),ROUND(F276*(1+G276/30),1),"")</f>
        <v/>
      </c>
      <c r="J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2" t="str">
        <f aca="false">IF(AND(ISNUMBER(F277),ISNUMBER(G277),G277&gt;0),ROUND(F277*(1+G277/30),1),"")</f>
        <v/>
      </c>
      <c r="J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2" t="str">
        <f aca="false">IF(AND(ISNUMBER(F278),ISNUMBER(G278),G278&gt;0),ROUND(F278*(1+G278/30),1),"")</f>
        <v/>
      </c>
      <c r="J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2" t="str">
        <f aca="false">IF(AND(ISNUMBER(F279),ISNUMBER(G279),G279&gt;0),ROUND(F279*(1+G279/30),1),"")</f>
        <v/>
      </c>
      <c r="J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2" t="str">
        <f aca="false">IF(AND(ISNUMBER(F280),ISNUMBER(G280),G280&gt;0),ROUND(F280*(1+G280/30),1),"")</f>
        <v/>
      </c>
      <c r="J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2" t="str">
        <f aca="false">IF(AND(ISNUMBER(F281),ISNUMBER(G281),G281&gt;0),ROUND(F281*(1+G281/30),1),"")</f>
        <v/>
      </c>
      <c r="J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2" t="str">
        <f aca="false">IF(AND(ISNUMBER(F282),ISNUMBER(G282),G282&gt;0),ROUND(F282*(1+G282/30),1),"")</f>
        <v/>
      </c>
      <c r="J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2" t="str">
        <f aca="false">IF(AND(ISNUMBER(F283),ISNUMBER(G283),G283&gt;0),ROUND(F283*(1+G283/30),1),"")</f>
        <v/>
      </c>
      <c r="J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2" t="str">
        <f aca="false">IF(AND(ISNUMBER(F284),ISNUMBER(G284),G284&gt;0),ROUND(F284*(1+G284/30),1),"")</f>
        <v/>
      </c>
      <c r="J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2" t="str">
        <f aca="false">IF(AND(ISNUMBER(F285),ISNUMBER(G285),G285&gt;0),ROUND(F285*(1+G285/30),1),"")</f>
        <v/>
      </c>
      <c r="J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2" t="str">
        <f aca="false">IF(AND(ISNUMBER(F286),ISNUMBER(G286),G286&gt;0),ROUND(F286*(1+G286/30),1),"")</f>
        <v/>
      </c>
      <c r="J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2" t="str">
        <f aca="false">IF(AND(ISNUMBER(F287),ISNUMBER(G287),G287&gt;0),ROUND(F287*(1+G287/30),1),"")</f>
        <v/>
      </c>
      <c r="J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2" t="str">
        <f aca="false">IF(AND(ISNUMBER(F288),ISNUMBER(G288),G288&gt;0),ROUND(F288*(1+G288/30),1),"")</f>
        <v/>
      </c>
      <c r="J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2" t="str">
        <f aca="false">IF(AND(ISNUMBER(F289),ISNUMBER(G289),G289&gt;0),ROUND(F289*(1+G289/30),1),"")</f>
        <v/>
      </c>
      <c r="J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2" t="str">
        <f aca="false">IF(AND(ISNUMBER(F290),ISNUMBER(G290),G290&gt;0),ROUND(F290*(1+G290/30),1),"")</f>
        <v/>
      </c>
      <c r="J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2" t="str">
        <f aca="false">IF(AND(ISNUMBER(F291),ISNUMBER(G291),G291&gt;0),ROUND(F291*(1+G291/30),1),"")</f>
        <v/>
      </c>
      <c r="J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2" t="str">
        <f aca="false">IF(AND(ISNUMBER(F292),ISNUMBER(G292),G292&gt;0),ROUND(F292*(1+G292/30),1),"")</f>
        <v/>
      </c>
      <c r="J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2" t="str">
        <f aca="false">IF(AND(ISNUMBER(F293),ISNUMBER(G293),G293&gt;0),ROUND(F293*(1+G293/30),1),"")</f>
        <v/>
      </c>
      <c r="J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2" t="str">
        <f aca="false">IF(AND(ISNUMBER(F294),ISNUMBER(G294),G294&gt;0),ROUND(F294*(1+G294/30),1),"")</f>
        <v/>
      </c>
      <c r="J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2" t="str">
        <f aca="false">IF(AND(ISNUMBER(F295),ISNUMBER(G295),G295&gt;0),ROUND(F295*(1+G295/30),1),"")</f>
        <v/>
      </c>
      <c r="J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2" t="str">
        <f aca="false">IF(AND(ISNUMBER(F296),ISNUMBER(G296),G296&gt;0),ROUND(F296*(1+G296/30),1),"")</f>
        <v/>
      </c>
      <c r="J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2" t="str">
        <f aca="false">IF(AND(ISNUMBER(F297),ISNUMBER(G297),G297&gt;0),ROUND(F297*(1+G297/30),1),"")</f>
        <v/>
      </c>
      <c r="J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2" t="str">
        <f aca="false">IF(AND(ISNUMBER(F298),ISNUMBER(G298),G298&gt;0),ROUND(F298*(1+G298/30),1),"")</f>
        <v/>
      </c>
      <c r="J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2" t="str">
        <f aca="false">IF(AND(ISNUMBER(F299),ISNUMBER(G299),G299&gt;0),ROUND(F299*(1+G299/30),1),"")</f>
        <v/>
      </c>
      <c r="J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2" t="str">
        <f aca="false">IF(AND(ISNUMBER(F300),ISNUMBER(G300),G300&gt;0),ROUND(F300*(1+G300/30),1),"")</f>
        <v/>
      </c>
      <c r="J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2" t="str">
        <f aca="false">IF(AND(ISNUMBER(F301),ISNUMBER(G301),G301&gt;0),ROUND(F301*(1+G301/30),1),"")</f>
        <v/>
      </c>
      <c r="J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2" t="str">
        <f aca="false">IF(AND(ISNUMBER(F302),ISNUMBER(G302),G302&gt;0),ROUND(F302*(1+G302/30),1),"")</f>
        <v/>
      </c>
      <c r="J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2" t="str">
        <f aca="false">IF(AND(ISNUMBER(F303),ISNUMBER(G303),G303&gt;0),ROUND(F303*(1+G303/30),1),"")</f>
        <v/>
      </c>
      <c r="J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2" t="str">
        <f aca="false">IF(AND(ISNUMBER(F304),ISNUMBER(G304),G304&gt;0),ROUND(F304*(1+G304/30),1),"")</f>
        <v/>
      </c>
      <c r="J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2" t="str">
        <f aca="false">IF(AND(ISNUMBER(F305),ISNUMBER(G305),G305&gt;0),ROUND(F305*(1+G305/30),1),"")</f>
        <v/>
      </c>
      <c r="J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2" t="str">
        <f aca="false">IF(AND(ISNUMBER(F306),ISNUMBER(G306),G306&gt;0),ROUND(F306*(1+G306/30),1),"")</f>
        <v/>
      </c>
      <c r="J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2" t="str">
        <f aca="false">IF(AND(ISNUMBER(F307),ISNUMBER(G307),G307&gt;0),ROUND(F307*(1+G307/30),1),"")</f>
        <v/>
      </c>
      <c r="J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2" t="str">
        <f aca="false">IF(AND(ISNUMBER(F308),ISNUMBER(G308),G308&gt;0),ROUND(F308*(1+G308/30),1),"")</f>
        <v/>
      </c>
      <c r="J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2" t="str">
        <f aca="false">IF(AND(ISNUMBER(F309),ISNUMBER(G309),G309&gt;0),ROUND(F309*(1+G309/30),1),"")</f>
        <v/>
      </c>
      <c r="J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2" t="str">
        <f aca="false">IF(AND(ISNUMBER(F310),ISNUMBER(G310),G310&gt;0),ROUND(F310*(1+G310/30),1),"")</f>
        <v/>
      </c>
      <c r="J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2" t="str">
        <f aca="false">IF(AND(ISNUMBER(F311),ISNUMBER(G311),G311&gt;0),ROUND(F311*(1+G311/30),1),"")</f>
        <v/>
      </c>
      <c r="J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2" t="str">
        <f aca="false">IF(AND(ISNUMBER(F312),ISNUMBER(G312),G312&gt;0),ROUND(F312*(1+G312/30),1),"")</f>
        <v/>
      </c>
      <c r="J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2" t="str">
        <f aca="false">IF(AND(ISNUMBER(F313),ISNUMBER(G313),G313&gt;0),ROUND(F313*(1+G313/30),1),"")</f>
        <v/>
      </c>
      <c r="J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2" t="str">
        <f aca="false">IF(AND(ISNUMBER(F314),ISNUMBER(G314),G314&gt;0),ROUND(F314*(1+G314/30),1),"")</f>
        <v/>
      </c>
      <c r="J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2" t="str">
        <f aca="false">IF(AND(ISNUMBER(F315),ISNUMBER(G315),G315&gt;0),ROUND(F315*(1+G315/30),1),"")</f>
        <v/>
      </c>
      <c r="J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2" t="str">
        <f aca="false">IF(AND(ISNUMBER(F316),ISNUMBER(G316),G316&gt;0),ROUND(F316*(1+G316/30),1),"")</f>
        <v/>
      </c>
      <c r="J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2" t="str">
        <f aca="false">IF(AND(ISNUMBER(F317),ISNUMBER(G317),G317&gt;0),ROUND(F317*(1+G317/30),1),"")</f>
        <v/>
      </c>
      <c r="J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2" t="str">
        <f aca="false">IF(AND(ISNUMBER(F318),ISNUMBER(G318),G318&gt;0),ROUND(F318*(1+G318/30),1),"")</f>
        <v/>
      </c>
      <c r="J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2" t="str">
        <f aca="false">IF(AND(ISNUMBER(F319),ISNUMBER(G319),G319&gt;0),ROUND(F319*(1+G319/30),1),"")</f>
        <v/>
      </c>
      <c r="J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2" t="str">
        <f aca="false">IF(AND(ISNUMBER(F320),ISNUMBER(G320),G320&gt;0),ROUND(F320*(1+G320/30),1),"")</f>
        <v/>
      </c>
      <c r="J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2" t="str">
        <f aca="false">IF(AND(ISNUMBER(F321),ISNUMBER(G321),G321&gt;0),ROUND(F321*(1+G321/30),1),"")</f>
        <v/>
      </c>
      <c r="J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2" t="str">
        <f aca="false">IF(AND(ISNUMBER(F322),ISNUMBER(G322),G322&gt;0),ROUND(F322*(1+G322/30),1),"")</f>
        <v/>
      </c>
      <c r="J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2" t="str">
        <f aca="false">IF(AND(ISNUMBER(F323),ISNUMBER(G323),G323&gt;0),ROUND(F323*(1+G323/30),1),"")</f>
        <v/>
      </c>
      <c r="J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2" t="str">
        <f aca="false">IF(AND(ISNUMBER(F324),ISNUMBER(G324),G324&gt;0),ROUND(F324*(1+G324/30),1),"")</f>
        <v/>
      </c>
      <c r="J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2" t="str">
        <f aca="false">IF(AND(ISNUMBER(F325),ISNUMBER(G325),G325&gt;0),ROUND(F325*(1+G325/30),1),"")</f>
        <v/>
      </c>
      <c r="J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2" t="str">
        <f aca="false">IF(AND(ISNUMBER(F326),ISNUMBER(G326),G326&gt;0),ROUND(F326*(1+G326/30),1),"")</f>
        <v/>
      </c>
      <c r="J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2" t="str">
        <f aca="false">IF(AND(ISNUMBER(F327),ISNUMBER(G327),G327&gt;0),ROUND(F327*(1+G327/30),1),"")</f>
        <v/>
      </c>
      <c r="J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2" t="str">
        <f aca="false">IF(AND(ISNUMBER(F328),ISNUMBER(G328),G328&gt;0),ROUND(F328*(1+G328/30),1),"")</f>
        <v/>
      </c>
      <c r="J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2" t="str">
        <f aca="false">IF(AND(ISNUMBER(F329),ISNUMBER(G329),G329&gt;0),ROUND(F329*(1+G329/30),1),"")</f>
        <v/>
      </c>
      <c r="J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2" t="str">
        <f aca="false">IF(AND(ISNUMBER(F330),ISNUMBER(G330),G330&gt;0),ROUND(F330*(1+G330/30),1),"")</f>
        <v/>
      </c>
      <c r="J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2" t="str">
        <f aca="false">IF(AND(ISNUMBER(F331),ISNUMBER(G331),G331&gt;0),ROUND(F331*(1+G331/30),1),"")</f>
        <v/>
      </c>
      <c r="J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2" t="str">
        <f aca="false">IF(AND(ISNUMBER(F332),ISNUMBER(G332),G332&gt;0),ROUND(F332*(1+G332/30),1),"")</f>
        <v/>
      </c>
      <c r="J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2" t="str">
        <f aca="false">IF(AND(ISNUMBER(F333),ISNUMBER(G333),G333&gt;0),ROUND(F333*(1+G333/30),1),"")</f>
        <v/>
      </c>
      <c r="J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2" t="str">
        <f aca="false">IF(AND(ISNUMBER(F334),ISNUMBER(G334),G334&gt;0),ROUND(F334*(1+G334/30),1),"")</f>
        <v/>
      </c>
      <c r="J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2" t="str">
        <f aca="false">IF(AND(ISNUMBER(F335),ISNUMBER(G335),G335&gt;0),ROUND(F335*(1+G335/30),1),"")</f>
        <v/>
      </c>
      <c r="J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2" t="str">
        <f aca="false">IF(AND(ISNUMBER(F336),ISNUMBER(G336),G336&gt;0),ROUND(F336*(1+G336/30),1),"")</f>
        <v/>
      </c>
      <c r="J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2" t="str">
        <f aca="false">IF(AND(ISNUMBER(F337),ISNUMBER(G337),G337&gt;0),ROUND(F337*(1+G337/30),1),"")</f>
        <v/>
      </c>
      <c r="J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2" t="str">
        <f aca="false">IF(AND(ISNUMBER(F338),ISNUMBER(G338),G338&gt;0),ROUND(F338*(1+G338/30),1),"")</f>
        <v/>
      </c>
      <c r="J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2" t="str">
        <f aca="false">IF(AND(ISNUMBER(F339),ISNUMBER(G339),G339&gt;0),ROUND(F339*(1+G339/30),1),"")</f>
        <v/>
      </c>
      <c r="J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2" t="str">
        <f aca="false">IF(AND(ISNUMBER(F340),ISNUMBER(G340),G340&gt;0),ROUND(F340*(1+G340/30),1),"")</f>
        <v/>
      </c>
      <c r="J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2" t="str">
        <f aca="false">IF(AND(ISNUMBER(F341),ISNUMBER(G341),G341&gt;0),ROUND(F341*(1+G341/30),1),"")</f>
        <v/>
      </c>
      <c r="J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2" t="str">
        <f aca="false">IF(AND(ISNUMBER(F342),ISNUMBER(G342),G342&gt;0),ROUND(F342*(1+G342/30),1),"")</f>
        <v/>
      </c>
      <c r="J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2" t="str">
        <f aca="false">IF(AND(ISNUMBER(F343),ISNUMBER(G343),G343&gt;0),ROUND(F343*(1+G343/30),1),"")</f>
        <v/>
      </c>
      <c r="J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2" t="str">
        <f aca="false">IF(AND(ISNUMBER(F344),ISNUMBER(G344),G344&gt;0),ROUND(F344*(1+G344/30),1),"")</f>
        <v/>
      </c>
      <c r="J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2" t="str">
        <f aca="false">IF(AND(ISNUMBER(F345),ISNUMBER(G345),G345&gt;0),ROUND(F345*(1+G345/30),1),"")</f>
        <v/>
      </c>
      <c r="J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2" t="str">
        <f aca="false">IF(AND(ISNUMBER(F346),ISNUMBER(G346),G346&gt;0),ROUND(F346*(1+G346/30),1),"")</f>
        <v/>
      </c>
      <c r="J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2" t="str">
        <f aca="false">IF(AND(ISNUMBER(F347),ISNUMBER(G347),G347&gt;0),ROUND(F347*(1+G347/30),1),"")</f>
        <v/>
      </c>
      <c r="J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2" t="str">
        <f aca="false">IF(AND(ISNUMBER(F348),ISNUMBER(G348),G348&gt;0),ROUND(F348*(1+G348/30),1),"")</f>
        <v/>
      </c>
      <c r="J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2" t="str">
        <f aca="false">IF(AND(ISNUMBER(F349),ISNUMBER(G349),G349&gt;0),ROUND(F349*(1+G349/30),1),"")</f>
        <v/>
      </c>
      <c r="J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2" t="str">
        <f aca="false">IF(AND(ISNUMBER(F350),ISNUMBER(G350),G350&gt;0),ROUND(F350*(1+G350/30),1),"")</f>
        <v/>
      </c>
      <c r="J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2" t="str">
        <f aca="false">IF(AND(ISNUMBER(F351),ISNUMBER(G351),G351&gt;0),ROUND(F351*(1+G351/30),1),"")</f>
        <v/>
      </c>
      <c r="J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2" t="str">
        <f aca="false">IF(AND(ISNUMBER(F352),ISNUMBER(G352),G352&gt;0),ROUND(F352*(1+G352/30),1),"")</f>
        <v/>
      </c>
      <c r="J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2" t="str">
        <f aca="false">IF(AND(ISNUMBER(F353),ISNUMBER(G353),G353&gt;0),ROUND(F353*(1+G353/30),1),"")</f>
        <v/>
      </c>
      <c r="J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2" t="str">
        <f aca="false">IF(AND(ISNUMBER(F354),ISNUMBER(G354),G354&gt;0),ROUND(F354*(1+G354/30),1),"")</f>
        <v/>
      </c>
      <c r="J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2" t="str">
        <f aca="false">IF(AND(ISNUMBER(F355),ISNUMBER(G355),G355&gt;0),ROUND(F355*(1+G355/30),1),"")</f>
        <v/>
      </c>
      <c r="J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2" t="str">
        <f aca="false">IF(AND(ISNUMBER(F356),ISNUMBER(G356),G356&gt;0),ROUND(F356*(1+G356/30),1),"")</f>
        <v/>
      </c>
      <c r="J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2" t="str">
        <f aca="false">IF(AND(ISNUMBER(F357),ISNUMBER(G357),G357&gt;0),ROUND(F357*(1+G357/30),1),"")</f>
        <v/>
      </c>
      <c r="J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2" t="str">
        <f aca="false">IF(AND(ISNUMBER(F358),ISNUMBER(G358),G358&gt;0),ROUND(F358*(1+G358/30),1),"")</f>
        <v/>
      </c>
      <c r="J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2" t="str">
        <f aca="false">IF(AND(ISNUMBER(F359),ISNUMBER(G359),G359&gt;0),ROUND(F359*(1+G359/30),1),"")</f>
        <v/>
      </c>
      <c r="J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2" t="str">
        <f aca="false">IF(AND(ISNUMBER(F360),ISNUMBER(G360),G360&gt;0),ROUND(F360*(1+G360/30),1),"")</f>
        <v/>
      </c>
      <c r="J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2" t="str">
        <f aca="false">IF(AND(ISNUMBER(F361),ISNUMBER(G361),G361&gt;0),ROUND(F361*(1+G361/30),1),"")</f>
        <v/>
      </c>
      <c r="J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2" t="str">
        <f aca="false">IF(AND(ISNUMBER(F362),ISNUMBER(G362),G362&gt;0),ROUND(F362*(1+G362/30),1),"")</f>
        <v/>
      </c>
      <c r="J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2" t="str">
        <f aca="false">IF(AND(ISNUMBER(F363),ISNUMBER(G363),G363&gt;0),ROUND(F363*(1+G363/30),1),"")</f>
        <v/>
      </c>
      <c r="J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2" t="str">
        <f aca="false">IF(AND(ISNUMBER(F364),ISNUMBER(G364),G364&gt;0),ROUND(F364*(1+G364/30),1),"")</f>
        <v/>
      </c>
      <c r="J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2" t="str">
        <f aca="false">IF(AND(ISNUMBER(F365),ISNUMBER(G365),G365&gt;0),ROUND(F365*(1+G365/30),1),"")</f>
        <v/>
      </c>
      <c r="J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2" t="str">
        <f aca="false">IF(AND(ISNUMBER(F366),ISNUMBER(G366),G366&gt;0),ROUND(F366*(1+G366/30),1),"")</f>
        <v/>
      </c>
      <c r="J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2" t="str">
        <f aca="false">IF(AND(ISNUMBER(F367),ISNUMBER(G367),G367&gt;0),ROUND(F367*(1+G367/30),1),"")</f>
        <v/>
      </c>
      <c r="J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2" t="str">
        <f aca="false">IF(AND(ISNUMBER(F368),ISNUMBER(G368),G368&gt;0),ROUND(F368*(1+G368/30),1),"")</f>
        <v/>
      </c>
      <c r="J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2" t="str">
        <f aca="false">IF(AND(ISNUMBER(F369),ISNUMBER(G369),G369&gt;0),ROUND(F369*(1+G369/30),1),"")</f>
        <v/>
      </c>
      <c r="J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2" t="str">
        <f aca="false">IF(AND(ISNUMBER(F370),ISNUMBER(G370),G370&gt;0),ROUND(F370*(1+G370/30),1),"")</f>
        <v/>
      </c>
      <c r="J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2" t="str">
        <f aca="false">IF(AND(ISNUMBER(F371),ISNUMBER(G371),G371&gt;0),ROUND(F371*(1+G371/30),1),"")</f>
        <v/>
      </c>
      <c r="J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2" t="str">
        <f aca="false">IF(AND(ISNUMBER(F372),ISNUMBER(G372),G372&gt;0),ROUND(F372*(1+G372/30),1),"")</f>
        <v/>
      </c>
      <c r="J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2" t="str">
        <f aca="false">IF(AND(ISNUMBER(F373),ISNUMBER(G373),G373&gt;0),ROUND(F373*(1+G373/30),1),"")</f>
        <v/>
      </c>
      <c r="J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2" t="str">
        <f aca="false">IF(AND(ISNUMBER(F374),ISNUMBER(G374),G374&gt;0),ROUND(F374*(1+G374/30),1),"")</f>
        <v/>
      </c>
      <c r="J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2" t="str">
        <f aca="false">IF(AND(ISNUMBER(F375),ISNUMBER(G375),G375&gt;0),ROUND(F375*(1+G375/30),1),"")</f>
        <v/>
      </c>
      <c r="J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2" t="str">
        <f aca="false">IF(AND(ISNUMBER(F376),ISNUMBER(G376),G376&gt;0),ROUND(F376*(1+G376/30),1),"")</f>
        <v/>
      </c>
      <c r="J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2" t="str">
        <f aca="false">IF(AND(ISNUMBER(F377),ISNUMBER(G377),G377&gt;0),ROUND(F377*(1+G377/30),1),"")</f>
        <v/>
      </c>
      <c r="J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2" t="str">
        <f aca="false">IF(AND(ISNUMBER(F378),ISNUMBER(G378),G378&gt;0),ROUND(F378*(1+G378/30),1),"")</f>
        <v/>
      </c>
      <c r="J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2" t="str">
        <f aca="false">IF(AND(ISNUMBER(F379),ISNUMBER(G379),G379&gt;0),ROUND(F379*(1+G379/30),1),"")</f>
        <v/>
      </c>
      <c r="J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2" t="str">
        <f aca="false">IF(AND(ISNUMBER(F380),ISNUMBER(G380),G380&gt;0),ROUND(F380*(1+G380/30),1),"")</f>
        <v/>
      </c>
      <c r="J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2" t="str">
        <f aca="false">IF(AND(ISNUMBER(F381),ISNUMBER(G381),G381&gt;0),ROUND(F381*(1+G381/30),1),"")</f>
        <v/>
      </c>
      <c r="J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2" t="str">
        <f aca="false">IF(AND(ISNUMBER(F382),ISNUMBER(G382),G382&gt;0),ROUND(F382*(1+G382/30),1),"")</f>
        <v/>
      </c>
      <c r="J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2" t="str">
        <f aca="false">IF(AND(ISNUMBER(F383),ISNUMBER(G383),G383&gt;0),ROUND(F383*(1+G383/30),1),"")</f>
        <v/>
      </c>
      <c r="J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2" t="str">
        <f aca="false">IF(AND(ISNUMBER(F384),ISNUMBER(G384),G384&gt;0),ROUND(F384*(1+G384/30),1),"")</f>
        <v/>
      </c>
      <c r="J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2" t="str">
        <f aca="false">IF(AND(ISNUMBER(F385),ISNUMBER(G385),G385&gt;0),ROUND(F385*(1+G385/30),1),"")</f>
        <v/>
      </c>
      <c r="J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2" t="str">
        <f aca="false">IF(AND(ISNUMBER(F386),ISNUMBER(G386),G386&gt;0),ROUND(F386*(1+G386/30),1),"")</f>
        <v/>
      </c>
      <c r="J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2" t="str">
        <f aca="false">IF(AND(ISNUMBER(F387),ISNUMBER(G387),G387&gt;0),ROUND(F387*(1+G387/30),1),"")</f>
        <v/>
      </c>
      <c r="J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2" t="str">
        <f aca="false">IF(AND(ISNUMBER(F388),ISNUMBER(G388),G388&gt;0),ROUND(F388*(1+G388/30),1),"")</f>
        <v/>
      </c>
      <c r="J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2" t="str">
        <f aca="false">IF(AND(ISNUMBER(F389),ISNUMBER(G389),G389&gt;0),ROUND(F389*(1+G389/30),1),"")</f>
        <v/>
      </c>
      <c r="J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2" t="str">
        <f aca="false">IF(AND(ISNUMBER(F390),ISNUMBER(G390),G390&gt;0),ROUND(F390*(1+G390/30),1),"")</f>
        <v/>
      </c>
      <c r="J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2" t="str">
        <f aca="false">IF(AND(ISNUMBER(F391),ISNUMBER(G391),G391&gt;0),ROUND(F391*(1+G391/30),1),"")</f>
        <v/>
      </c>
      <c r="J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2" t="str">
        <f aca="false">IF(AND(ISNUMBER(F392),ISNUMBER(G392),G392&gt;0),ROUND(F392*(1+G392/30),1),"")</f>
        <v/>
      </c>
      <c r="J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2" t="str">
        <f aca="false">IF(AND(ISNUMBER(F393),ISNUMBER(G393),G393&gt;0),ROUND(F393*(1+G393/30),1),"")</f>
        <v/>
      </c>
      <c r="J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2" t="str">
        <f aca="false">IF(AND(ISNUMBER(F394),ISNUMBER(G394),G394&gt;0),ROUND(F394*(1+G394/30),1),"")</f>
        <v/>
      </c>
      <c r="J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2" t="str">
        <f aca="false">IF(AND(ISNUMBER(F395),ISNUMBER(G395),G395&gt;0),ROUND(F395*(1+G395/30),1),"")</f>
        <v/>
      </c>
      <c r="J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2" t="str">
        <f aca="false">IF(AND(ISNUMBER(F396),ISNUMBER(G396),G396&gt;0),ROUND(F396*(1+G396/30),1),"")</f>
        <v/>
      </c>
      <c r="J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2" t="str">
        <f aca="false">IF(AND(ISNUMBER(F397),ISNUMBER(G397),G397&gt;0),ROUND(F397*(1+G397/30),1),"")</f>
        <v/>
      </c>
      <c r="J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2" t="str">
        <f aca="false">IF(AND(ISNUMBER(F398),ISNUMBER(G398),G398&gt;0),ROUND(F398*(1+G398/30),1),"")</f>
        <v/>
      </c>
      <c r="J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2" t="str">
        <f aca="false">IF(AND(ISNUMBER(F399),ISNUMBER(G399),G399&gt;0),ROUND(F399*(1+G399/30),1),"")</f>
        <v/>
      </c>
      <c r="J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2" t="str">
        <f aca="false">IF(AND(ISNUMBER(F400),ISNUMBER(G400),G400&gt;0),ROUND(F400*(1+G400/30),1),"")</f>
        <v/>
      </c>
      <c r="J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2" t="str">
        <f aca="false">IF(AND(ISNUMBER(F401),ISNUMBER(G401),G401&gt;0),ROUND(F401*(1+G401/30),1),"")</f>
        <v/>
      </c>
      <c r="J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2" t="str">
        <f aca="false">IF(AND(ISNUMBER(F402),ISNUMBER(G402),G402&gt;0),ROUND(F402*(1+G402/30),1),"")</f>
        <v/>
      </c>
      <c r="J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2" t="str">
        <f aca="false">IF(AND(ISNUMBER(F403),ISNUMBER(G403),G403&gt;0),ROUND(F403*(1+G403/30),1),"")</f>
        <v/>
      </c>
      <c r="J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2" t="str">
        <f aca="false">IF(AND(ISNUMBER(F404),ISNUMBER(G404),G404&gt;0),ROUND(F404*(1+G404/30),1),"")</f>
        <v/>
      </c>
      <c r="J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2" t="str">
        <f aca="false">IF(AND(ISNUMBER(F405),ISNUMBER(G405),G405&gt;0),ROUND(F405*(1+G405/30),1),"")</f>
        <v/>
      </c>
      <c r="J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2" t="str">
        <f aca="false">IF(AND(ISNUMBER(F406),ISNUMBER(G406),G406&gt;0),ROUND(F406*(1+G406/30),1),"")</f>
        <v/>
      </c>
      <c r="J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2" t="str">
        <f aca="false">IF(AND(ISNUMBER(F407),ISNUMBER(G407),G407&gt;0),ROUND(F407*(1+G407/30),1),"")</f>
        <v/>
      </c>
      <c r="J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2" t="str">
        <f aca="false">IF(AND(ISNUMBER(F408),ISNUMBER(G408),G408&gt;0),ROUND(F408*(1+G408/30),1),"")</f>
        <v/>
      </c>
      <c r="J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2" t="str">
        <f aca="false">IF(AND(ISNUMBER(F409),ISNUMBER(G409),G409&gt;0),ROUND(F409*(1+G409/30),1),"")</f>
        <v/>
      </c>
      <c r="J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2" t="str">
        <f aca="false">IF(AND(ISNUMBER(F410),ISNUMBER(G410),G410&gt;0),ROUND(F410*(1+G410/30),1),"")</f>
        <v/>
      </c>
      <c r="J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2" t="str">
        <f aca="false">IF(AND(ISNUMBER(F411),ISNUMBER(G411),G411&gt;0),ROUND(F411*(1+G411/30),1),"")</f>
        <v/>
      </c>
      <c r="J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2" t="str">
        <f aca="false">IF(AND(ISNUMBER(F412),ISNUMBER(G412),G412&gt;0),ROUND(F412*(1+G412/30),1),"")</f>
        <v/>
      </c>
      <c r="J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2" t="str">
        <f aca="false">IF(AND(ISNUMBER(F413),ISNUMBER(G413),G413&gt;0),ROUND(F413*(1+G413/30),1),"")</f>
        <v/>
      </c>
      <c r="J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2" t="str">
        <f aca="false">IF(AND(ISNUMBER(F414),ISNUMBER(G414),G414&gt;0),ROUND(F414*(1+G414/30),1),"")</f>
        <v/>
      </c>
      <c r="J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2" t="str">
        <f aca="false">IF(AND(ISNUMBER(F415),ISNUMBER(G415),G415&gt;0),ROUND(F415*(1+G415/30),1),"")</f>
        <v/>
      </c>
      <c r="J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2" t="str">
        <f aca="false">IF(AND(ISNUMBER(F416),ISNUMBER(G416),G416&gt;0),ROUND(F416*(1+G416/30),1),"")</f>
        <v/>
      </c>
      <c r="J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2" t="str">
        <f aca="false">IF(AND(ISNUMBER(F417),ISNUMBER(G417),G417&gt;0),ROUND(F417*(1+G417/30),1),"")</f>
        <v/>
      </c>
      <c r="J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2" t="str">
        <f aca="false">IF(AND(ISNUMBER(F418),ISNUMBER(G418),G418&gt;0),ROUND(F418*(1+G418/30),1),"")</f>
        <v/>
      </c>
      <c r="J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2" t="str">
        <f aca="false">IF(AND(ISNUMBER(F419),ISNUMBER(G419),G419&gt;0),ROUND(F419*(1+G419/30),1),"")</f>
        <v/>
      </c>
      <c r="J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2" t="str">
        <f aca="false">IF(AND(ISNUMBER(F420),ISNUMBER(G420),G420&gt;0),ROUND(F420*(1+G420/30),1),"")</f>
        <v/>
      </c>
      <c r="J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2" t="str">
        <f aca="false">IF(AND(ISNUMBER(F421),ISNUMBER(G421),G421&gt;0),ROUND(F421*(1+G421/30),1),"")</f>
        <v/>
      </c>
      <c r="J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2" t="str">
        <f aca="false">IF(AND(ISNUMBER(F422),ISNUMBER(G422),G422&gt;0),ROUND(F422*(1+G422/30),1),"")</f>
        <v/>
      </c>
      <c r="J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2" t="str">
        <f aca="false">IF(AND(ISNUMBER(F423),ISNUMBER(G423),G423&gt;0),ROUND(F423*(1+G423/30),1),"")</f>
        <v/>
      </c>
      <c r="J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2" t="str">
        <f aca="false">IF(AND(ISNUMBER(F424),ISNUMBER(G424),G424&gt;0),ROUND(F424*(1+G424/30),1),"")</f>
        <v/>
      </c>
      <c r="J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2" t="str">
        <f aca="false">IF(AND(ISNUMBER(F425),ISNUMBER(G425),G425&gt;0),ROUND(F425*(1+G425/30),1),"")</f>
        <v/>
      </c>
      <c r="J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2" t="str">
        <f aca="false">IF(AND(ISNUMBER(F426),ISNUMBER(G426),G426&gt;0),ROUND(F426*(1+G426/30),1),"")</f>
        <v/>
      </c>
      <c r="J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2" t="str">
        <f aca="false">IF(AND(ISNUMBER(F427),ISNUMBER(G427),G427&gt;0),ROUND(F427*(1+G427/30),1),"")</f>
        <v/>
      </c>
      <c r="J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2" t="str">
        <f aca="false">IF(AND(ISNUMBER(F428),ISNUMBER(G428),G428&gt;0),ROUND(F428*(1+G428/30),1),"")</f>
        <v/>
      </c>
      <c r="J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2" t="str">
        <f aca="false">IF(AND(ISNUMBER(F429),ISNUMBER(G429),G429&gt;0),ROUND(F429*(1+G429/30),1),"")</f>
        <v/>
      </c>
      <c r="J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2" t="str">
        <f aca="false">IF(AND(ISNUMBER(F430),ISNUMBER(G430),G430&gt;0),ROUND(F430*(1+G430/30),1),"")</f>
        <v/>
      </c>
      <c r="J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2" t="str">
        <f aca="false">IF(AND(ISNUMBER(F431),ISNUMBER(G431),G431&gt;0),ROUND(F431*(1+G431/30),1),"")</f>
        <v/>
      </c>
      <c r="J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2" t="str">
        <f aca="false">IF(AND(ISNUMBER(F432),ISNUMBER(G432),G432&gt;0),ROUND(F432*(1+G432/30),1),"")</f>
        <v/>
      </c>
      <c r="J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2" t="str">
        <f aca="false">IF(AND(ISNUMBER(F433),ISNUMBER(G433),G433&gt;0),ROUND(F433*(1+G433/30),1),"")</f>
        <v/>
      </c>
      <c r="J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2" t="str">
        <f aca="false">IF(AND(ISNUMBER(F434),ISNUMBER(G434),G434&gt;0),ROUND(F434*(1+G434/30),1),"")</f>
        <v/>
      </c>
      <c r="J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2" t="str">
        <f aca="false">IF(AND(ISNUMBER(F435),ISNUMBER(G435),G435&gt;0),ROUND(F435*(1+G435/30),1),"")</f>
        <v/>
      </c>
      <c r="J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2" t="str">
        <f aca="false">IF(AND(ISNUMBER(F436),ISNUMBER(G436),G436&gt;0),ROUND(F436*(1+G436/30),1),"")</f>
        <v/>
      </c>
      <c r="J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2" t="str">
        <f aca="false">IF(AND(ISNUMBER(F437),ISNUMBER(G437),G437&gt;0),ROUND(F437*(1+G437/30),1),"")</f>
        <v/>
      </c>
      <c r="J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2" t="str">
        <f aca="false">IF(AND(ISNUMBER(F438),ISNUMBER(G438),G438&gt;0),ROUND(F438*(1+G438/30),1),"")</f>
        <v/>
      </c>
      <c r="J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2" t="str">
        <f aca="false">IF(AND(ISNUMBER(F439),ISNUMBER(G439),G439&gt;0),ROUND(F439*(1+G439/30),1),"")</f>
        <v/>
      </c>
      <c r="J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2" t="str">
        <f aca="false">IF(AND(ISNUMBER(F440),ISNUMBER(G440),G440&gt;0),ROUND(F440*(1+G440/30),1),"")</f>
        <v/>
      </c>
      <c r="J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2" t="str">
        <f aca="false">IF(AND(ISNUMBER(F441),ISNUMBER(G441),G441&gt;0),ROUND(F441*(1+G441/30),1),"")</f>
        <v/>
      </c>
      <c r="J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2" t="str">
        <f aca="false">IF(AND(ISNUMBER(F442),ISNUMBER(G442),G442&gt;0),ROUND(F442*(1+G442/30),1),"")</f>
        <v/>
      </c>
      <c r="J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2" t="str">
        <f aca="false">IF(AND(ISNUMBER(F443),ISNUMBER(G443),G443&gt;0),ROUND(F443*(1+G443/30),1),"")</f>
        <v/>
      </c>
      <c r="J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2" t="str">
        <f aca="false">IF(AND(ISNUMBER(F444),ISNUMBER(G444),G444&gt;0),ROUND(F444*(1+G444/30),1),"")</f>
        <v/>
      </c>
      <c r="J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2" t="str">
        <f aca="false">IF(AND(ISNUMBER(F445),ISNUMBER(G445),G445&gt;0),ROUND(F445*(1+G445/30),1),"")</f>
        <v/>
      </c>
      <c r="J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2" t="str">
        <f aca="false">IF(AND(ISNUMBER(F446),ISNUMBER(G446),G446&gt;0),ROUND(F446*(1+G446/30),1),"")</f>
        <v/>
      </c>
      <c r="J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2" t="str">
        <f aca="false">IF(AND(ISNUMBER(F447),ISNUMBER(G447),G447&gt;0),ROUND(F447*(1+G447/30),1),"")</f>
        <v/>
      </c>
      <c r="J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2" t="str">
        <f aca="false">IF(AND(ISNUMBER(F448),ISNUMBER(G448),G448&gt;0),ROUND(F448*(1+G448/30),1),"")</f>
        <v/>
      </c>
      <c r="J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2" t="str">
        <f aca="false">IF(AND(ISNUMBER(F449),ISNUMBER(G449),G449&gt;0),ROUND(F449*(1+G449/30),1),"")</f>
        <v/>
      </c>
      <c r="J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2" t="str">
        <f aca="false">IF(AND(ISNUMBER(F450),ISNUMBER(G450),G450&gt;0),ROUND(F450*(1+G450/30),1),"")</f>
        <v/>
      </c>
      <c r="J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2" t="str">
        <f aca="false">IF(AND(ISNUMBER(F451),ISNUMBER(G451),G451&gt;0),ROUND(F451*(1+G451/30),1),"")</f>
        <v/>
      </c>
      <c r="J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2" t="str">
        <f aca="false">IF(AND(ISNUMBER(F452),ISNUMBER(G452),G452&gt;0),ROUND(F452*(1+G452/30),1),"")</f>
        <v/>
      </c>
      <c r="J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2" t="str">
        <f aca="false">IF(AND(ISNUMBER(F453),ISNUMBER(G453),G453&gt;0),ROUND(F453*(1+G453/30),1),"")</f>
        <v/>
      </c>
      <c r="J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2" t="str">
        <f aca="false">IF(AND(ISNUMBER(F454),ISNUMBER(G454),G454&gt;0),ROUND(F454*(1+G454/30),1),"")</f>
        <v/>
      </c>
      <c r="J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2" t="str">
        <f aca="false">IF(AND(ISNUMBER(F455),ISNUMBER(G455),G455&gt;0),ROUND(F455*(1+G455/30),1),"")</f>
        <v/>
      </c>
      <c r="J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2" t="str">
        <f aca="false">IF(AND(ISNUMBER(F456),ISNUMBER(G456),G456&gt;0),ROUND(F456*(1+G456/30),1),"")</f>
        <v/>
      </c>
      <c r="J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2" t="str">
        <f aca="false">IF(AND(ISNUMBER(F457),ISNUMBER(G457),G457&gt;0),ROUND(F457*(1+G457/30),1),"")</f>
        <v/>
      </c>
      <c r="J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2" t="str">
        <f aca="false">IF(AND(ISNUMBER(F458),ISNUMBER(G458),G458&gt;0),ROUND(F458*(1+G458/30),1),"")</f>
        <v/>
      </c>
      <c r="J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2" t="str">
        <f aca="false">IF(AND(ISNUMBER(F459),ISNUMBER(G459),G459&gt;0),ROUND(F459*(1+G459/30),1),"")</f>
        <v/>
      </c>
      <c r="J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2" t="str">
        <f aca="false">IF(AND(ISNUMBER(F460),ISNUMBER(G460),G460&gt;0),ROUND(F460*(1+G460/30),1),"")</f>
        <v/>
      </c>
      <c r="J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2" t="str">
        <f aca="false">IF(AND(ISNUMBER(F461),ISNUMBER(G461),G461&gt;0),ROUND(F461*(1+G461/30),1),"")</f>
        <v/>
      </c>
      <c r="J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2" t="str">
        <f aca="false">IF(AND(ISNUMBER(F462),ISNUMBER(G462),G462&gt;0),ROUND(F462*(1+G462/30),1),"")</f>
        <v/>
      </c>
      <c r="J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2" t="str">
        <f aca="false">IF(AND(ISNUMBER(F463),ISNUMBER(G463),G463&gt;0),ROUND(F463*(1+G463/30),1),"")</f>
        <v/>
      </c>
      <c r="J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2" t="str">
        <f aca="false">IF(AND(ISNUMBER(F464),ISNUMBER(G464),G464&gt;0),ROUND(F464*(1+G464/30),1),"")</f>
        <v/>
      </c>
      <c r="J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2" t="str">
        <f aca="false">IF(AND(ISNUMBER(F465),ISNUMBER(G465),G465&gt;0),ROUND(F465*(1+G465/30),1),"")</f>
        <v/>
      </c>
      <c r="J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2" t="str">
        <f aca="false">IF(AND(ISNUMBER(F466),ISNUMBER(G466),G466&gt;0),ROUND(F466*(1+G466/30),1),"")</f>
        <v/>
      </c>
      <c r="J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2" t="str">
        <f aca="false">IF(AND(ISNUMBER(F467),ISNUMBER(G467),G467&gt;0),ROUND(F467*(1+G467/30),1),"")</f>
        <v/>
      </c>
      <c r="J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2" t="str">
        <f aca="false">IF(AND(ISNUMBER(F468),ISNUMBER(G468),G468&gt;0),ROUND(F468*(1+G468/30),1),"")</f>
        <v/>
      </c>
      <c r="J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2" t="str">
        <f aca="false">IF(AND(ISNUMBER(F469),ISNUMBER(G469),G469&gt;0),ROUND(F469*(1+G469/30),1),"")</f>
        <v/>
      </c>
      <c r="J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2" t="str">
        <f aca="false">IF(AND(ISNUMBER(F470),ISNUMBER(G470),G470&gt;0),ROUND(F470*(1+G470/30),1),"")</f>
        <v/>
      </c>
      <c r="J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2" t="str">
        <f aca="false">IF(AND(ISNUMBER(F471),ISNUMBER(G471),G471&gt;0),ROUND(F471*(1+G471/30),1),"")</f>
        <v/>
      </c>
      <c r="J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2" t="str">
        <f aca="false">IF(AND(ISNUMBER(F472),ISNUMBER(G472),G472&gt;0),ROUND(F472*(1+G472/30),1),"")</f>
        <v/>
      </c>
      <c r="J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2" t="str">
        <f aca="false">IF(AND(ISNUMBER(F473),ISNUMBER(G473),G473&gt;0),ROUND(F473*(1+G473/30),1),"")</f>
        <v/>
      </c>
      <c r="J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2" t="str">
        <f aca="false">IF(AND(ISNUMBER(F474),ISNUMBER(G474),G474&gt;0),ROUND(F474*(1+G474/30),1),"")</f>
        <v/>
      </c>
      <c r="J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2" t="str">
        <f aca="false">IF(AND(ISNUMBER(F475),ISNUMBER(G475),G475&gt;0),ROUND(F475*(1+G475/30),1),"")</f>
        <v/>
      </c>
      <c r="J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2" t="str">
        <f aca="false">IF(AND(ISNUMBER(F476),ISNUMBER(G476),G476&gt;0),ROUND(F476*(1+G476/30),1),"")</f>
        <v/>
      </c>
      <c r="J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2" t="str">
        <f aca="false">IF(AND(ISNUMBER(F477),ISNUMBER(G477),G477&gt;0),ROUND(F477*(1+G477/30),1),"")</f>
        <v/>
      </c>
      <c r="J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2" t="str">
        <f aca="false">IF(AND(ISNUMBER(F478),ISNUMBER(G478),G478&gt;0),ROUND(F478*(1+G478/30),1),"")</f>
        <v/>
      </c>
      <c r="J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2" t="str">
        <f aca="false">IF(AND(ISNUMBER(F479),ISNUMBER(G479),G479&gt;0),ROUND(F479*(1+G479/30),1),"")</f>
        <v/>
      </c>
      <c r="J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2" t="str">
        <f aca="false">IF(AND(ISNUMBER(F480),ISNUMBER(G480),G480&gt;0),ROUND(F480*(1+G480/30),1),"")</f>
        <v/>
      </c>
      <c r="J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2" t="str">
        <f aca="false">IF(AND(ISNUMBER(F481),ISNUMBER(G481),G481&gt;0),ROUND(F481*(1+G481/30),1),"")</f>
        <v/>
      </c>
      <c r="J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2" t="str">
        <f aca="false">IF(AND(ISNUMBER(F482),ISNUMBER(G482),G482&gt;0),ROUND(F482*(1+G482/30),1),"")</f>
        <v/>
      </c>
      <c r="J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2" t="str">
        <f aca="false">IF(AND(ISNUMBER(F483),ISNUMBER(G483),G483&gt;0),ROUND(F483*(1+G483/30),1),"")</f>
        <v/>
      </c>
      <c r="J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2" t="str">
        <f aca="false">IF(AND(ISNUMBER(F484),ISNUMBER(G484),G484&gt;0),ROUND(F484*(1+G484/30),1),"")</f>
        <v/>
      </c>
      <c r="J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2" t="str">
        <f aca="false">IF(AND(ISNUMBER(F485),ISNUMBER(G485),G485&gt;0),ROUND(F485*(1+G485/30),1),"")</f>
        <v/>
      </c>
      <c r="J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2" t="str">
        <f aca="false">IF(AND(ISNUMBER(F486),ISNUMBER(G486),G486&gt;0),ROUND(F486*(1+G486/30),1),"")</f>
        <v/>
      </c>
      <c r="J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2" t="str">
        <f aca="false">IF(AND(ISNUMBER(F487),ISNUMBER(G487),G487&gt;0),ROUND(F487*(1+G487/30),1),"")</f>
        <v/>
      </c>
      <c r="J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2" t="str">
        <f aca="false">IF(AND(ISNUMBER(F488),ISNUMBER(G488),G488&gt;0),ROUND(F488*(1+G488/30),1),"")</f>
        <v/>
      </c>
      <c r="J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2" t="str">
        <f aca="false">IF(AND(ISNUMBER(F489),ISNUMBER(G489),G489&gt;0),ROUND(F489*(1+G489/30),1),"")</f>
        <v/>
      </c>
      <c r="J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2" t="str">
        <f aca="false">IF(AND(ISNUMBER(F490),ISNUMBER(G490),G490&gt;0),ROUND(F490*(1+G490/30),1),"")</f>
        <v/>
      </c>
      <c r="J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2" t="str">
        <f aca="false">IF(AND(ISNUMBER(F491),ISNUMBER(G491),G491&gt;0),ROUND(F491*(1+G491/30),1),"")</f>
        <v/>
      </c>
      <c r="J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2" t="str">
        <f aca="false">IF(AND(ISNUMBER(F492),ISNUMBER(G492),G492&gt;0),ROUND(F492*(1+G492/30),1),"")</f>
        <v/>
      </c>
      <c r="J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2" t="str">
        <f aca="false">IF(AND(ISNUMBER(F493),ISNUMBER(G493),G493&gt;0),ROUND(F493*(1+G493/30),1),"")</f>
        <v/>
      </c>
      <c r="J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2" t="str">
        <f aca="false">IF(AND(ISNUMBER(F494),ISNUMBER(G494),G494&gt;0),ROUND(F494*(1+G494/30),1),"")</f>
        <v/>
      </c>
      <c r="J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2" t="str">
        <f aca="false">IF(AND(ISNUMBER(F495),ISNUMBER(G495),G495&gt;0),ROUND(F495*(1+G495/30),1),"")</f>
        <v/>
      </c>
      <c r="J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2" t="str">
        <f aca="false">IF(AND(ISNUMBER(F496),ISNUMBER(G496),G496&gt;0),ROUND(F496*(1+G496/30),1),"")</f>
        <v/>
      </c>
      <c r="J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2" t="str">
        <f aca="false">IF(AND(ISNUMBER(F497),ISNUMBER(G497),G497&gt;0),ROUND(F497*(1+G497/30),1),"")</f>
        <v/>
      </c>
      <c r="J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2" t="str">
        <f aca="false">IF(AND(ISNUMBER(F498),ISNUMBER(G498),G498&gt;0),ROUND(F498*(1+G498/30),1),"")</f>
        <v/>
      </c>
      <c r="J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2" t="str">
        <f aca="false">IF(AND(ISNUMBER(F499),ISNUMBER(G499),G499&gt;0),ROUND(F499*(1+G499/30),1),"")</f>
        <v/>
      </c>
      <c r="J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2" t="str">
        <f aca="false">IF(AND(ISNUMBER(F500),ISNUMBER(G500),G500&gt;0),ROUND(F500*(1+G500/30),1),"")</f>
        <v/>
      </c>
      <c r="J500" s="10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2" t="str">
        <f aca="false">IF(AND(ISNUMBER(F501),ISNUMBER(G501),G501&gt;0),ROUND(F501*(1+G501/30),1),"")</f>
        <v/>
      </c>
      <c r="J501" s="10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2" t="str">
        <f aca="false">IF(AND(ISNUMBER(F502),ISNUMBER(G502),G502&gt;0),ROUND(F502*(1+G502/30),1),"")</f>
        <v/>
      </c>
      <c r="J502" s="10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2" t="str">
        <f aca="false">IF(AND(ISNUMBER(F503),ISNUMBER(G503),G503&gt;0),ROUND(F503*(1+G503/30),1),"")</f>
        <v/>
      </c>
      <c r="J503" s="10"/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2" t="str">
        <f aca="false">IF(AND(ISNUMBER(F504),ISNUMBER(G504),G504&gt;0),ROUND(F504*(1+G504/30),1),"")</f>
        <v/>
      </c>
      <c r="J504" s="10"/>
    </row>
    <row r="505" customFormat="false" ht="1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2" t="str">
        <f aca="false">IF(AND(ISNUMBER(F505),ISNUMBER(G505),G505&gt;0),ROUND(F505*(1+G505/30),1),"")</f>
        <v/>
      </c>
      <c r="J505" s="10"/>
    </row>
    <row r="506" customFormat="false" ht="1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2" t="str">
        <f aca="false">IF(AND(ISNUMBER(F506),ISNUMBER(G506),G506&gt;0),ROUND(F506*(1+G506/30),1),"")</f>
        <v/>
      </c>
      <c r="J506" s="10"/>
    </row>
    <row r="507" customFormat="false" ht="1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2" t="str">
        <f aca="false">IF(AND(ISNUMBER(F507),ISNUMBER(G507),G507&gt;0),ROUND(F507*(1+G507/30),1),"")</f>
        <v/>
      </c>
      <c r="J507" s="10"/>
    </row>
    <row r="508" customFormat="false" ht="1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2" t="str">
        <f aca="false">IF(AND(ISNUMBER(F508),ISNUMBER(G508),G508&gt;0),ROUND(F508*(1+G508/30),1),"")</f>
        <v/>
      </c>
      <c r="J508" s="10"/>
    </row>
    <row r="509" customFormat="false" ht="1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2" t="str">
        <f aca="false">IF(AND(ISNUMBER(F509),ISNUMBER(G509),G509&gt;0),ROUND(F509*(1+G509/30),1),"")</f>
        <v/>
      </c>
      <c r="J509" s="10"/>
    </row>
    <row r="510" customFormat="false" ht="1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2" t="str">
        <f aca="false">IF(AND(ISNUMBER(F510),ISNUMBER(G510),G510&gt;0),ROUND(F510*(1+G510/30),1),"")</f>
        <v/>
      </c>
      <c r="J510" s="10"/>
    </row>
    <row r="511" customFormat="false" ht="1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2" t="str">
        <f aca="false">IF(AND(ISNUMBER(F511),ISNUMBER(G511),G511&gt;0),ROUND(F511*(1+G511/30),1),"")</f>
        <v/>
      </c>
      <c r="J511" s="10"/>
    </row>
    <row r="512" customFormat="false" ht="1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2" t="str">
        <f aca="false">IF(AND(ISNUMBER(F512),ISNUMBER(G512),G512&gt;0),ROUND(F512*(1+G512/30),1),"")</f>
        <v/>
      </c>
      <c r="J512" s="10"/>
    </row>
    <row r="513" customFormat="false" ht="1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2" t="str">
        <f aca="false">IF(AND(ISNUMBER(F513),ISNUMBER(G513),G513&gt;0),ROUND(F513*(1+G513/30),1),"")</f>
        <v/>
      </c>
      <c r="J513" s="10"/>
    </row>
    <row r="514" customFormat="false" ht="1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2" t="str">
        <f aca="false">IF(AND(ISNUMBER(F514),ISNUMBER(G514),G514&gt;0),ROUND(F514*(1+G514/30),1),"")</f>
        <v/>
      </c>
      <c r="J514" s="10"/>
    </row>
    <row r="515" customFormat="false" ht="1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2" t="str">
        <f aca="false">IF(AND(ISNUMBER(F515),ISNUMBER(G515),G515&gt;0),ROUND(F515*(1+G515/30),1),"")</f>
        <v/>
      </c>
      <c r="J515" s="10"/>
    </row>
    <row r="516" customFormat="false" ht="1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2" t="str">
        <f aca="false">IF(AND(ISNUMBER(F516),ISNUMBER(G516),G516&gt;0),ROUND(F516*(1+G516/30),1),"")</f>
        <v/>
      </c>
      <c r="J516" s="10"/>
    </row>
    <row r="517" customFormat="false" ht="1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2" t="str">
        <f aca="false">IF(AND(ISNUMBER(F517),ISNUMBER(G517),G517&gt;0),ROUND(F517*(1+G517/30),1),"")</f>
        <v/>
      </c>
      <c r="J517" s="10"/>
    </row>
    <row r="518" customFormat="false" ht="1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2" t="str">
        <f aca="false">IF(AND(ISNUMBER(F518),ISNUMBER(G518),G518&gt;0),ROUND(F518*(1+G518/30),1),"")</f>
        <v/>
      </c>
      <c r="J518" s="10"/>
    </row>
    <row r="519" customFormat="false" ht="1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2" t="str">
        <f aca="false">IF(AND(ISNUMBER(F519),ISNUMBER(G519),G519&gt;0),ROUND(F519*(1+G519/30),1),"")</f>
        <v/>
      </c>
      <c r="J519" s="10"/>
    </row>
    <row r="520" customFormat="false" ht="1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2" t="str">
        <f aca="false">IF(AND(ISNUMBER(F520),ISNUMBER(G520),G520&gt;0),ROUND(F520*(1+G520/30),1),"")</f>
        <v/>
      </c>
      <c r="J520" s="10"/>
    </row>
    <row r="521" customFormat="false" ht="1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2" t="str">
        <f aca="false">IF(AND(ISNUMBER(F521),ISNUMBER(G521),G521&gt;0),ROUND(F521*(1+G521/30),1),"")</f>
        <v/>
      </c>
      <c r="J521" s="10"/>
    </row>
    <row r="522" customFormat="false" ht="1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2" t="str">
        <f aca="false">IF(AND(ISNUMBER(F522),ISNUMBER(G522),G522&gt;0),ROUND(F522*(1+G522/30),1),"")</f>
        <v/>
      </c>
      <c r="J522" s="10"/>
    </row>
    <row r="523" customFormat="false" ht="1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2" t="str">
        <f aca="false">IF(AND(ISNUMBER(F523),ISNUMBER(G523),G523&gt;0),ROUND(F523*(1+G523/30),1),"")</f>
        <v/>
      </c>
      <c r="J523" s="10"/>
    </row>
    <row r="524" customFormat="false" ht="1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2" t="str">
        <f aca="false">IF(AND(ISNUMBER(F524),ISNUMBER(G524),G524&gt;0),ROUND(F524*(1+G524/30),1),"")</f>
        <v/>
      </c>
      <c r="J524" s="10"/>
    </row>
    <row r="525" customFormat="false" ht="1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2" t="str">
        <f aca="false">IF(AND(ISNUMBER(F525),ISNUMBER(G525),G525&gt;0),ROUND(F525*(1+G525/30),1),"")</f>
        <v/>
      </c>
      <c r="J525" s="10"/>
    </row>
    <row r="526" customFormat="false" ht="1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2" t="str">
        <f aca="false">IF(AND(ISNUMBER(F526),ISNUMBER(G526),G526&gt;0),ROUND(F526*(1+G526/30),1),"")</f>
        <v/>
      </c>
      <c r="J526" s="10"/>
    </row>
    <row r="527" customFormat="false" ht="1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2" t="str">
        <f aca="false">IF(AND(ISNUMBER(F527),ISNUMBER(G527),G527&gt;0),ROUND(F527*(1+G527/30),1),"")</f>
        <v/>
      </c>
      <c r="J527" s="10"/>
    </row>
    <row r="528" customFormat="false" ht="1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2" t="str">
        <f aca="false">IF(AND(ISNUMBER(F528),ISNUMBER(G528),G528&gt;0),ROUND(F528*(1+G528/30),1),"")</f>
        <v/>
      </c>
      <c r="J528" s="10"/>
    </row>
    <row r="529" customFormat="false" ht="1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2" t="str">
        <f aca="false">IF(AND(ISNUMBER(F529),ISNUMBER(G529),G529&gt;0),ROUND(F529*(1+G529/30),1),"")</f>
        <v/>
      </c>
      <c r="J529" s="10"/>
    </row>
    <row r="530" customFormat="false" ht="1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2" t="str">
        <f aca="false">IF(AND(ISNUMBER(F530),ISNUMBER(G530),G530&gt;0),ROUND(F530*(1+G530/30),1),"")</f>
        <v/>
      </c>
      <c r="J530" s="10"/>
    </row>
    <row r="531" customFormat="false" ht="1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2" t="str">
        <f aca="false">IF(AND(ISNUMBER(F531),ISNUMBER(G531),G531&gt;0),ROUND(F531*(1+G531/30),1),"")</f>
        <v/>
      </c>
      <c r="J531" s="10"/>
    </row>
    <row r="532" customFormat="false" ht="1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2" t="str">
        <f aca="false">IF(AND(ISNUMBER(F532),ISNUMBER(G532),G532&gt;0),ROUND(F532*(1+G532/30),1),"")</f>
        <v/>
      </c>
      <c r="J532" s="10"/>
    </row>
    <row r="533" customFormat="false" ht="1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2" t="str">
        <f aca="false">IF(AND(ISNUMBER(F533),ISNUMBER(G533),G533&gt;0),ROUND(F533*(1+G533/30),1),"")</f>
        <v/>
      </c>
      <c r="J533" s="10"/>
    </row>
    <row r="534" customFormat="false" ht="1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2" t="str">
        <f aca="false">IF(AND(ISNUMBER(F534),ISNUMBER(G534),G534&gt;0),ROUND(F534*(1+G534/30),1),"")</f>
        <v/>
      </c>
      <c r="J534" s="10"/>
    </row>
    <row r="535" customFormat="false" ht="1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2" t="str">
        <f aca="false">IF(AND(ISNUMBER(F535),ISNUMBER(G535),G535&gt;0),ROUND(F535*(1+G535/30),1),"")</f>
        <v/>
      </c>
      <c r="J535" s="10"/>
    </row>
    <row r="536" customFormat="false" ht="1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2" t="str">
        <f aca="false">IF(AND(ISNUMBER(F536),ISNUMBER(G536),G536&gt;0),ROUND(F536*(1+G536/30),1),"")</f>
        <v/>
      </c>
      <c r="J536" s="10"/>
    </row>
    <row r="537" customFormat="false" ht="1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2" t="str">
        <f aca="false">IF(AND(ISNUMBER(F537),ISNUMBER(G537),G537&gt;0),ROUND(F537*(1+G537/30),1),"")</f>
        <v/>
      </c>
      <c r="J537" s="10"/>
    </row>
    <row r="538" customFormat="false" ht="1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2" t="str">
        <f aca="false">IF(AND(ISNUMBER(F538),ISNUMBER(G538),G538&gt;0),ROUND(F538*(1+G538/30),1),"")</f>
        <v/>
      </c>
      <c r="J538" s="10"/>
    </row>
    <row r="539" customFormat="false" ht="1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2" t="str">
        <f aca="false">IF(AND(ISNUMBER(F539),ISNUMBER(G539),G539&gt;0),ROUND(F539*(1+G539/30),1),"")</f>
        <v/>
      </c>
      <c r="J539" s="10"/>
    </row>
    <row r="540" customFormat="false" ht="1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2" t="str">
        <f aca="false">IF(AND(ISNUMBER(F540),ISNUMBER(G540),G540&gt;0),ROUND(F540*(1+G540/30),1),"")</f>
        <v/>
      </c>
      <c r="J540" s="10"/>
    </row>
    <row r="541" customFormat="false" ht="1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2" t="str">
        <f aca="false">IF(AND(ISNUMBER(F541),ISNUMBER(G541),G541&gt;0),ROUND(F541*(1+G541/30),1),"")</f>
        <v/>
      </c>
      <c r="J541" s="10"/>
    </row>
    <row r="542" customFormat="false" ht="1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2" t="str">
        <f aca="false">IF(AND(ISNUMBER(F542),ISNUMBER(G542),G542&gt;0),ROUND(F542*(1+G542/30),1),"")</f>
        <v/>
      </c>
      <c r="J542" s="10"/>
    </row>
    <row r="543" customFormat="false" ht="1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2" t="str">
        <f aca="false">IF(AND(ISNUMBER(F543),ISNUMBER(G543),G543&gt;0),ROUND(F543*(1+G543/30),1),"")</f>
        <v/>
      </c>
      <c r="J543" s="10"/>
    </row>
    <row r="544" customFormat="false" ht="1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2" t="str">
        <f aca="false">IF(AND(ISNUMBER(F544),ISNUMBER(G544),G544&gt;0),ROUND(F544*(1+G544/30),1),"")</f>
        <v/>
      </c>
      <c r="J544" s="10"/>
    </row>
    <row r="545" customFormat="false" ht="1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2" t="str">
        <f aca="false">IF(AND(ISNUMBER(F545),ISNUMBER(G545),G545&gt;0),ROUND(F545*(1+G545/30),1),"")</f>
        <v/>
      </c>
      <c r="J545" s="10"/>
    </row>
    <row r="546" customFormat="false" ht="1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2" t="str">
        <f aca="false">IF(AND(ISNUMBER(F546),ISNUMBER(G546),G546&gt;0),ROUND(F546*(1+G546/30),1),"")</f>
        <v/>
      </c>
      <c r="J546" s="10"/>
    </row>
    <row r="547" customFormat="false" ht="1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2" t="str">
        <f aca="false">IF(AND(ISNUMBER(F547),ISNUMBER(G547),G547&gt;0),ROUND(F547*(1+G547/30),1),"")</f>
        <v/>
      </c>
      <c r="J547" s="10"/>
    </row>
    <row r="548" customFormat="false" ht="1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2" t="str">
        <f aca="false">IF(AND(ISNUMBER(F548),ISNUMBER(G548),G548&gt;0),ROUND(F548*(1+G548/30),1),"")</f>
        <v/>
      </c>
      <c r="J548" s="10"/>
    </row>
    <row r="549" customFormat="false" ht="1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2" t="str">
        <f aca="false">IF(AND(ISNUMBER(F549),ISNUMBER(G549),G549&gt;0),ROUND(F549*(1+G549/30),1),"")</f>
        <v/>
      </c>
      <c r="J549" s="10"/>
    </row>
    <row r="550" customFormat="false" ht="1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2" t="str">
        <f aca="false">IF(AND(ISNUMBER(F550),ISNUMBER(G550),G550&gt;0),ROUND(F550*(1+G550/30),1),"")</f>
        <v/>
      </c>
      <c r="J550" s="10"/>
    </row>
    <row r="551" customFormat="false" ht="1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2" t="str">
        <f aca="false">IF(AND(ISNUMBER(F551),ISNUMBER(G551),G551&gt;0),ROUND(F551*(1+G551/30),1),"")</f>
        <v/>
      </c>
      <c r="J551" s="10"/>
    </row>
    <row r="552" customFormat="false" ht="1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2" t="str">
        <f aca="false">IF(AND(ISNUMBER(F552),ISNUMBER(G552),G552&gt;0),ROUND(F552*(1+G552/30),1),"")</f>
        <v/>
      </c>
      <c r="J552" s="10"/>
    </row>
    <row r="553" customFormat="false" ht="1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2" t="str">
        <f aca="false">IF(AND(ISNUMBER(F553),ISNUMBER(G553),G553&gt;0),ROUND(F553*(1+G553/30),1),"")</f>
        <v/>
      </c>
      <c r="J553" s="10"/>
    </row>
    <row r="554" customFormat="false" ht="1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2" t="str">
        <f aca="false">IF(AND(ISNUMBER(F554),ISNUMBER(G554),G554&gt;0),ROUND(F554*(1+G554/30),1),"")</f>
        <v/>
      </c>
      <c r="J554" s="10"/>
    </row>
    <row r="555" customFormat="false" ht="1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2" t="str">
        <f aca="false">IF(AND(ISNUMBER(F555),ISNUMBER(G555),G555&gt;0),ROUND(F555*(1+G555/30),1),"")</f>
        <v/>
      </c>
      <c r="J555" s="10"/>
    </row>
    <row r="556" customFormat="false" ht="1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2" t="str">
        <f aca="false">IF(AND(ISNUMBER(F556),ISNUMBER(G556),G556&gt;0),ROUND(F556*(1+G556/30),1),"")</f>
        <v/>
      </c>
      <c r="J556" s="10"/>
    </row>
    <row r="557" customFormat="false" ht="1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2" t="str">
        <f aca="false">IF(AND(ISNUMBER(F557),ISNUMBER(G557),G557&gt;0),ROUND(F557*(1+G557/30),1),"")</f>
        <v/>
      </c>
      <c r="J557" s="10"/>
    </row>
    <row r="558" customFormat="false" ht="1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2" t="str">
        <f aca="false">IF(AND(ISNUMBER(F558),ISNUMBER(G558),G558&gt;0),ROUND(F558*(1+G558/30),1),"")</f>
        <v/>
      </c>
      <c r="J558" s="10"/>
    </row>
    <row r="559" customFormat="false" ht="1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2" t="str">
        <f aca="false">IF(AND(ISNUMBER(F559),ISNUMBER(G559),G559&gt;0),ROUND(F559*(1+G559/30),1),"")</f>
        <v/>
      </c>
      <c r="J559" s="10"/>
    </row>
    <row r="560" customFormat="false" ht="1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2" t="str">
        <f aca="false">IF(AND(ISNUMBER(F560),ISNUMBER(G560),G560&gt;0),ROUND(F560*(1+G560/30),1),"")</f>
        <v/>
      </c>
      <c r="J560" s="10"/>
    </row>
    <row r="561" customFormat="false" ht="1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2" t="str">
        <f aca="false">IF(AND(ISNUMBER(F561),ISNUMBER(G561),G561&gt;0),ROUND(F561*(1+G561/30),1),"")</f>
        <v/>
      </c>
      <c r="J561" s="10"/>
    </row>
    <row r="562" customFormat="false" ht="1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2" t="str">
        <f aca="false">IF(AND(ISNUMBER(F562),ISNUMBER(G562),G562&gt;0),ROUND(F562*(1+G562/30),1),"")</f>
        <v/>
      </c>
      <c r="J562" s="10"/>
    </row>
    <row r="563" customFormat="false" ht="1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2" t="str">
        <f aca="false">IF(AND(ISNUMBER(F563),ISNUMBER(G563),G563&gt;0),ROUND(F563*(1+G563/30),1),"")</f>
        <v/>
      </c>
      <c r="J563" s="10"/>
    </row>
    <row r="564" customFormat="false" ht="1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2" t="str">
        <f aca="false">IF(AND(ISNUMBER(F564),ISNUMBER(G564),G564&gt;0),ROUND(F564*(1+G564/30),1),"")</f>
        <v/>
      </c>
      <c r="J564" s="10"/>
    </row>
    <row r="565" customFormat="false" ht="1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2" t="str">
        <f aca="false">IF(AND(ISNUMBER(F565),ISNUMBER(G565),G565&gt;0),ROUND(F565*(1+G565/30),1),"")</f>
        <v/>
      </c>
      <c r="J565" s="10"/>
    </row>
    <row r="566" customFormat="false" ht="1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2" t="str">
        <f aca="false">IF(AND(ISNUMBER(F566),ISNUMBER(G566),G566&gt;0),ROUND(F566*(1+G566/30),1),"")</f>
        <v/>
      </c>
      <c r="J566" s="10"/>
    </row>
    <row r="567" customFormat="false" ht="1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2" t="str">
        <f aca="false">IF(AND(ISNUMBER(F567),ISNUMBER(G567),G567&gt;0),ROUND(F567*(1+G567/30),1),"")</f>
        <v/>
      </c>
      <c r="J567" s="10"/>
    </row>
    <row r="568" customFormat="false" ht="1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2" t="str">
        <f aca="false">IF(AND(ISNUMBER(F568),ISNUMBER(G568),G568&gt;0),ROUND(F568*(1+G568/30),1),"")</f>
        <v/>
      </c>
      <c r="J568" s="10"/>
    </row>
    <row r="569" customFormat="false" ht="1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2" t="str">
        <f aca="false">IF(AND(ISNUMBER(F569),ISNUMBER(G569),G569&gt;0),ROUND(F569*(1+G569/30),1),"")</f>
        <v/>
      </c>
      <c r="J569" s="10"/>
    </row>
    <row r="570" customFormat="false" ht="1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2" t="str">
        <f aca="false">IF(AND(ISNUMBER(F570),ISNUMBER(G570),G570&gt;0),ROUND(F570*(1+G570/30),1),"")</f>
        <v/>
      </c>
      <c r="J570" s="10"/>
    </row>
    <row r="571" customFormat="false" ht="1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2" t="str">
        <f aca="false">IF(AND(ISNUMBER(F571),ISNUMBER(G571),G571&gt;0),ROUND(F571*(1+G571/30),1),"")</f>
        <v/>
      </c>
      <c r="J571" s="10"/>
    </row>
    <row r="572" customFormat="false" ht="1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2" t="str">
        <f aca="false">IF(AND(ISNUMBER(F572),ISNUMBER(G572),G572&gt;0),ROUND(F572*(1+G572/30),1),"")</f>
        <v/>
      </c>
      <c r="J572" s="10"/>
    </row>
    <row r="573" customFormat="false" ht="1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2" t="str">
        <f aca="false">IF(AND(ISNUMBER(F573),ISNUMBER(G573),G573&gt;0),ROUND(F573*(1+G573/30),1),"")</f>
        <v/>
      </c>
      <c r="J573" s="10"/>
    </row>
    <row r="574" customFormat="false" ht="1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2" t="str">
        <f aca="false">IF(AND(ISNUMBER(F574),ISNUMBER(G574),G574&gt;0),ROUND(F574*(1+G574/30),1),"")</f>
        <v/>
      </c>
      <c r="J574" s="10"/>
    </row>
    <row r="575" customFormat="false" ht="1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2" t="str">
        <f aca="false">IF(AND(ISNUMBER(F575),ISNUMBER(G575),G575&gt;0),ROUND(F575*(1+G575/30),1),"")</f>
        <v/>
      </c>
      <c r="J575" s="10"/>
    </row>
    <row r="576" customFormat="false" ht="1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2" t="str">
        <f aca="false">IF(AND(ISNUMBER(F576),ISNUMBER(G576),G576&gt;0),ROUND(F576*(1+G576/30),1),"")</f>
        <v/>
      </c>
      <c r="J576" s="10"/>
    </row>
    <row r="577" customFormat="false" ht="1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2" t="str">
        <f aca="false">IF(AND(ISNUMBER(F577),ISNUMBER(G577),G577&gt;0),ROUND(F577*(1+G577/30),1),"")</f>
        <v/>
      </c>
      <c r="J577" s="10"/>
    </row>
    <row r="578" customFormat="false" ht="1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2" t="str">
        <f aca="false">IF(AND(ISNUMBER(F578),ISNUMBER(G578),G578&gt;0),ROUND(F578*(1+G578/30),1),"")</f>
        <v/>
      </c>
      <c r="J578" s="10"/>
    </row>
    <row r="579" customFormat="false" ht="1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2" t="str">
        <f aca="false">IF(AND(ISNUMBER(F579),ISNUMBER(G579),G579&gt;0),ROUND(F579*(1+G579/30),1),"")</f>
        <v/>
      </c>
      <c r="J579" s="10"/>
    </row>
    <row r="580" customFormat="false" ht="1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2" t="str">
        <f aca="false">IF(AND(ISNUMBER(F580),ISNUMBER(G580),G580&gt;0),ROUND(F580*(1+G580/30),1),"")</f>
        <v/>
      </c>
      <c r="J580" s="10"/>
    </row>
    <row r="581" customFormat="false" ht="1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2" t="str">
        <f aca="false">IF(AND(ISNUMBER(F581),ISNUMBER(G581),G581&gt;0),ROUND(F581*(1+G581/30),1),"")</f>
        <v/>
      </c>
      <c r="J581" s="10"/>
    </row>
    <row r="582" customFormat="false" ht="1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2" t="str">
        <f aca="false">IF(AND(ISNUMBER(F582),ISNUMBER(G582),G582&gt;0),ROUND(F582*(1+G582/30),1),"")</f>
        <v/>
      </c>
      <c r="J582" s="10"/>
    </row>
    <row r="583" customFormat="false" ht="1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2" t="str">
        <f aca="false">IF(AND(ISNUMBER(F583),ISNUMBER(G583),G583&gt;0),ROUND(F583*(1+G583/30),1),"")</f>
        <v/>
      </c>
      <c r="J583" s="10"/>
    </row>
    <row r="584" customFormat="false" ht="1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2" t="str">
        <f aca="false">IF(AND(ISNUMBER(F584),ISNUMBER(G584),G584&gt;0),ROUND(F584*(1+G584/30),1),"")</f>
        <v/>
      </c>
      <c r="J584" s="10"/>
    </row>
    <row r="585" customFormat="false" ht="1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2" t="str">
        <f aca="false">IF(AND(ISNUMBER(F585),ISNUMBER(G585),G585&gt;0),ROUND(F585*(1+G585/30),1),"")</f>
        <v/>
      </c>
      <c r="J585" s="10"/>
    </row>
    <row r="586" customFormat="false" ht="1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2" t="str">
        <f aca="false">IF(AND(ISNUMBER(F586),ISNUMBER(G586),G586&gt;0),ROUND(F586*(1+G586/30),1),"")</f>
        <v/>
      </c>
      <c r="J586" s="10"/>
    </row>
    <row r="587" customFormat="false" ht="1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2" t="str">
        <f aca="false">IF(AND(ISNUMBER(F587),ISNUMBER(G587),G587&gt;0),ROUND(F587*(1+G587/30),1),"")</f>
        <v/>
      </c>
      <c r="J587" s="10"/>
    </row>
    <row r="588" customFormat="false" ht="1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2" t="str">
        <f aca="false">IF(AND(ISNUMBER(F588),ISNUMBER(G588),G588&gt;0),ROUND(F588*(1+G588/30),1),"")</f>
        <v/>
      </c>
      <c r="J588" s="10"/>
    </row>
    <row r="589" customFormat="false" ht="1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2" t="str">
        <f aca="false">IF(AND(ISNUMBER(F589),ISNUMBER(G589),G589&gt;0),ROUND(F589*(1+G589/30),1),"")</f>
        <v/>
      </c>
      <c r="J589" s="10"/>
    </row>
    <row r="590" customFormat="false" ht="1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2" t="str">
        <f aca="false">IF(AND(ISNUMBER(F590),ISNUMBER(G590),G590&gt;0),ROUND(F590*(1+G590/30),1),"")</f>
        <v/>
      </c>
      <c r="J590" s="10"/>
    </row>
    <row r="591" customFormat="false" ht="1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2" t="str">
        <f aca="false">IF(AND(ISNUMBER(F591),ISNUMBER(G591),G591&gt;0),ROUND(F591*(1+G591/30),1),"")</f>
        <v/>
      </c>
      <c r="J591" s="10"/>
    </row>
    <row r="592" customFormat="false" ht="1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2" t="str">
        <f aca="false">IF(AND(ISNUMBER(F592),ISNUMBER(G592),G592&gt;0),ROUND(F592*(1+G592/30),1),"")</f>
        <v/>
      </c>
      <c r="J592" s="10"/>
    </row>
    <row r="593" customFormat="false" ht="1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2" t="str">
        <f aca="false">IF(AND(ISNUMBER(F593),ISNUMBER(G593),G593&gt;0),ROUND(F593*(1+G593/30),1),"")</f>
        <v/>
      </c>
      <c r="J593" s="10"/>
    </row>
    <row r="594" customFormat="false" ht="1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2" t="str">
        <f aca="false">IF(AND(ISNUMBER(F594),ISNUMBER(G594),G594&gt;0),ROUND(F594*(1+G594/30),1),"")</f>
        <v/>
      </c>
      <c r="J594" s="10"/>
    </row>
    <row r="595" customFormat="false" ht="1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2" t="str">
        <f aca="false">IF(AND(ISNUMBER(F595),ISNUMBER(G595),G595&gt;0),ROUND(F595*(1+G595/30),1),"")</f>
        <v/>
      </c>
      <c r="J595" s="10"/>
    </row>
    <row r="596" customFormat="false" ht="1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2" t="str">
        <f aca="false">IF(AND(ISNUMBER(F596),ISNUMBER(G596),G596&gt;0),ROUND(F596*(1+G596/30),1),"")</f>
        <v/>
      </c>
      <c r="J596" s="10"/>
    </row>
    <row r="597" customFormat="false" ht="1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2" t="str">
        <f aca="false">IF(AND(ISNUMBER(F597),ISNUMBER(G597),G597&gt;0),ROUND(F597*(1+G597/30),1),"")</f>
        <v/>
      </c>
      <c r="J597" s="10"/>
    </row>
    <row r="598" customFormat="false" ht="1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2" t="str">
        <f aca="false">IF(AND(ISNUMBER(F598),ISNUMBER(G598),G598&gt;0),ROUND(F598*(1+G598/30),1),"")</f>
        <v/>
      </c>
      <c r="J598" s="10"/>
    </row>
    <row r="599" customFormat="false" ht="1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2" t="str">
        <f aca="false">IF(AND(ISNUMBER(F599),ISNUMBER(G599),G599&gt;0),ROUND(F599*(1+G599/30),1),"")</f>
        <v/>
      </c>
      <c r="J599" s="10"/>
    </row>
    <row r="600" customFormat="false" ht="1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2" t="str">
        <f aca="false">IF(AND(ISNUMBER(F600),ISNUMBER(G600),G600&gt;0),ROUND(F600*(1+G600/30),1),"")</f>
        <v/>
      </c>
      <c r="J600" s="10"/>
    </row>
    <row r="601" customFormat="false" ht="1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2" t="str">
        <f aca="false">IF(AND(ISNUMBER(F601),ISNUMBER(G601),G601&gt;0),ROUND(F601*(1+G601/30),1),"")</f>
        <v/>
      </c>
      <c r="J601" s="10"/>
    </row>
    <row r="602" customFormat="false" ht="1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2" t="str">
        <f aca="false">IF(AND(ISNUMBER(F602),ISNUMBER(G602),G602&gt;0),ROUND(F602*(1+G602/30),1),"")</f>
        <v/>
      </c>
      <c r="J602" s="10"/>
    </row>
    <row r="603" customFormat="false" ht="1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2" t="str">
        <f aca="false">IF(AND(ISNUMBER(F603),ISNUMBER(G603),G603&gt;0),ROUND(F603*(1+G603/30),1),"")</f>
        <v/>
      </c>
      <c r="J603" s="10"/>
    </row>
    <row r="604" customFormat="false" ht="1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2" t="str">
        <f aca="false">IF(AND(ISNUMBER(F604),ISNUMBER(G604),G604&gt;0),ROUND(F604*(1+G604/30),1),"")</f>
        <v/>
      </c>
      <c r="J604" s="10"/>
    </row>
  </sheetData>
  <dataValidations count="2">
    <dataValidation allowBlank="true" errorStyle="stop" operator="between" showDropDown="false" showErrorMessage="false" showInputMessage="false" sqref="B5:B604" type="list">
      <formula1>"A,B,C,D,E"</formula1>
      <formula2>0</formula2>
    </dataValidation>
    <dataValidation allowBlank="true" errorStyle="stop" operator="between" showDropDown="false" showErrorMessage="false" showInputMessage="false" sqref="C5:C60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209</v>
      </c>
    </row>
    <row r="3" customFormat="false" ht="15" hidden="false" customHeight="false" outlineLevel="0" collapsed="false">
      <c r="A3" s="8" t="s">
        <v>210</v>
      </c>
      <c r="B3" s="13" t="n">
        <v>46300</v>
      </c>
    </row>
    <row r="4" customFormat="false" ht="15" hidden="false" customHeight="false" outlineLevel="0" collapsed="false">
      <c r="A4" s="8" t="s">
        <v>211</v>
      </c>
      <c r="B4" s="14" t="n">
        <f aca="false">B3+13</f>
        <v>46313</v>
      </c>
    </row>
    <row r="5" customFormat="false" ht="15" hidden="false" customHeight="false" outlineLevel="0" collapsed="false">
      <c r="A5" s="8" t="s">
        <v>212</v>
      </c>
      <c r="B5" s="15" t="n">
        <v>10</v>
      </c>
      <c r="C5" s="16" t="s">
        <v>213</v>
      </c>
    </row>
    <row r="6" customFormat="false" ht="15" hidden="false" customHeight="false" outlineLevel="0" collapsed="false">
      <c r="A6" s="8" t="s">
        <v>214</v>
      </c>
      <c r="B6" s="15" t="n">
        <v>8</v>
      </c>
      <c r="C6" s="16" t="s">
        <v>215</v>
      </c>
    </row>
    <row r="8" customFormat="false" ht="15" hidden="false" customHeight="false" outlineLevel="0" collapsed="false">
      <c r="A8" s="8" t="s">
        <v>216</v>
      </c>
      <c r="B8" s="17" t="n">
        <f aca="false">SUMPRODUCT((A12:A61&gt;=B3)*(A12:A61&lt;=B4)*(A12:A61&lt;&gt;""))</f>
        <v>0</v>
      </c>
    </row>
    <row r="9" customFormat="false" ht="15" hidden="false" customHeight="false" outlineLevel="0" collapsed="false">
      <c r="A9" s="8" t="s">
        <v>217</v>
      </c>
      <c r="B9" s="17" t="str">
        <f aca="true">IF(TODAY()&lt;=B4,"Em andamento",IF(B8&gt;=B6,"Manter sequência 5x","Cair para Upper/Lower 4x"))</f>
        <v>Em andamento</v>
      </c>
    </row>
    <row r="11" customFormat="false" ht="15" hidden="false" customHeight="false" outlineLevel="0" collapsed="false">
      <c r="A11" s="6" t="s">
        <v>218</v>
      </c>
      <c r="B11" s="6" t="s">
        <v>219</v>
      </c>
      <c r="C11" s="6" t="s">
        <v>220</v>
      </c>
      <c r="D11" s="6" t="s">
        <v>221</v>
      </c>
    </row>
    <row r="12" customFormat="false" ht="15" hidden="false" customHeight="false" outlineLevel="0" collapsed="false">
      <c r="A12" s="18"/>
      <c r="B12" s="10"/>
      <c r="C12" s="10"/>
      <c r="D12" s="10"/>
    </row>
    <row r="13" customFormat="false" ht="15" hidden="false" customHeight="false" outlineLevel="0" collapsed="false">
      <c r="A13" s="18"/>
      <c r="B13" s="10"/>
      <c r="C13" s="10"/>
      <c r="D13" s="10"/>
    </row>
    <row r="14" customFormat="false" ht="15" hidden="false" customHeight="false" outlineLevel="0" collapsed="false">
      <c r="A14" s="18"/>
      <c r="B14" s="10"/>
      <c r="C14" s="10"/>
      <c r="D14" s="10"/>
    </row>
    <row r="15" customFormat="false" ht="15" hidden="false" customHeight="false" outlineLevel="0" collapsed="false">
      <c r="A15" s="18"/>
      <c r="B15" s="10"/>
      <c r="C15" s="10"/>
      <c r="D15" s="10"/>
    </row>
    <row r="16" customFormat="false" ht="15" hidden="false" customHeight="false" outlineLevel="0" collapsed="false">
      <c r="A16" s="18"/>
      <c r="B16" s="10"/>
      <c r="C16" s="10"/>
      <c r="D16" s="10"/>
    </row>
    <row r="17" customFormat="false" ht="15" hidden="false" customHeight="false" outlineLevel="0" collapsed="false">
      <c r="A17" s="18"/>
      <c r="B17" s="10"/>
      <c r="C17" s="10"/>
      <c r="D17" s="10"/>
    </row>
    <row r="18" customFormat="false" ht="15" hidden="false" customHeight="false" outlineLevel="0" collapsed="false">
      <c r="A18" s="18"/>
      <c r="B18" s="10"/>
      <c r="C18" s="10"/>
      <c r="D18" s="10"/>
    </row>
    <row r="19" customFormat="false" ht="15" hidden="false" customHeight="false" outlineLevel="0" collapsed="false">
      <c r="A19" s="18"/>
      <c r="B19" s="10"/>
      <c r="C19" s="10"/>
      <c r="D19" s="10"/>
    </row>
    <row r="20" customFormat="false" ht="15" hidden="false" customHeight="false" outlineLevel="0" collapsed="false">
      <c r="A20" s="18"/>
      <c r="B20" s="10"/>
      <c r="C20" s="10"/>
      <c r="D20" s="10"/>
    </row>
    <row r="21" customFormat="false" ht="15" hidden="false" customHeight="false" outlineLevel="0" collapsed="false">
      <c r="A21" s="18"/>
      <c r="B21" s="10"/>
      <c r="C21" s="10"/>
      <c r="D21" s="10"/>
    </row>
    <row r="22" customFormat="false" ht="15" hidden="false" customHeight="false" outlineLevel="0" collapsed="false">
      <c r="A22" s="18"/>
      <c r="B22" s="10"/>
      <c r="C22" s="10"/>
      <c r="D22" s="10"/>
    </row>
    <row r="23" customFormat="false" ht="15" hidden="false" customHeight="false" outlineLevel="0" collapsed="false">
      <c r="A23" s="18"/>
      <c r="B23" s="10"/>
      <c r="C23" s="10"/>
      <c r="D23" s="10"/>
    </row>
    <row r="24" customFormat="false" ht="15" hidden="false" customHeight="false" outlineLevel="0" collapsed="false">
      <c r="A24" s="18"/>
      <c r="B24" s="10"/>
      <c r="C24" s="10"/>
      <c r="D24" s="10"/>
    </row>
    <row r="25" customFormat="false" ht="15" hidden="false" customHeight="false" outlineLevel="0" collapsed="false">
      <c r="A25" s="18"/>
      <c r="B25" s="10"/>
      <c r="C25" s="10"/>
      <c r="D25" s="10"/>
    </row>
    <row r="26" customFormat="false" ht="15" hidden="false" customHeight="false" outlineLevel="0" collapsed="false">
      <c r="A26" s="18"/>
      <c r="B26" s="10"/>
      <c r="C26" s="10"/>
      <c r="D26" s="10"/>
    </row>
    <row r="27" customFormat="false" ht="15" hidden="false" customHeight="false" outlineLevel="0" collapsed="false">
      <c r="A27" s="18"/>
      <c r="B27" s="10"/>
      <c r="C27" s="10"/>
      <c r="D27" s="10"/>
    </row>
    <row r="28" customFormat="false" ht="15" hidden="false" customHeight="false" outlineLevel="0" collapsed="false">
      <c r="A28" s="18"/>
      <c r="B28" s="10"/>
      <c r="C28" s="10"/>
      <c r="D28" s="10"/>
    </row>
    <row r="29" customFormat="false" ht="15" hidden="false" customHeight="false" outlineLevel="0" collapsed="false">
      <c r="A29" s="18"/>
      <c r="B29" s="10"/>
      <c r="C29" s="10"/>
      <c r="D29" s="10"/>
    </row>
    <row r="30" customFormat="false" ht="15" hidden="false" customHeight="false" outlineLevel="0" collapsed="false">
      <c r="A30" s="18"/>
      <c r="B30" s="10"/>
      <c r="C30" s="10"/>
      <c r="D30" s="10"/>
    </row>
    <row r="31" customFormat="false" ht="15" hidden="false" customHeight="false" outlineLevel="0" collapsed="false">
      <c r="A31" s="18"/>
      <c r="B31" s="10"/>
      <c r="C31" s="10"/>
      <c r="D31" s="10"/>
    </row>
    <row r="32" customFormat="false" ht="15" hidden="false" customHeight="false" outlineLevel="0" collapsed="false">
      <c r="A32" s="18"/>
      <c r="B32" s="10"/>
      <c r="C32" s="10"/>
      <c r="D32" s="10"/>
    </row>
    <row r="33" customFormat="false" ht="15" hidden="false" customHeight="false" outlineLevel="0" collapsed="false">
      <c r="A33" s="18"/>
      <c r="B33" s="10"/>
      <c r="C33" s="10"/>
      <c r="D33" s="10"/>
    </row>
    <row r="34" customFormat="false" ht="15" hidden="false" customHeight="false" outlineLevel="0" collapsed="false">
      <c r="A34" s="18"/>
      <c r="B34" s="10"/>
      <c r="C34" s="10"/>
      <c r="D34" s="10"/>
    </row>
    <row r="35" customFormat="false" ht="15" hidden="false" customHeight="false" outlineLevel="0" collapsed="false">
      <c r="A35" s="18"/>
      <c r="B35" s="10"/>
      <c r="C35" s="10"/>
      <c r="D35" s="10"/>
    </row>
    <row r="36" customFormat="false" ht="15" hidden="false" customHeight="false" outlineLevel="0" collapsed="false">
      <c r="A36" s="18"/>
      <c r="B36" s="10"/>
      <c r="C36" s="10"/>
      <c r="D36" s="10"/>
    </row>
    <row r="37" customFormat="false" ht="15" hidden="false" customHeight="false" outlineLevel="0" collapsed="false">
      <c r="A37" s="18"/>
      <c r="B37" s="10"/>
      <c r="C37" s="10"/>
      <c r="D37" s="10"/>
    </row>
    <row r="38" customFormat="false" ht="15" hidden="false" customHeight="false" outlineLevel="0" collapsed="false">
      <c r="A38" s="18"/>
      <c r="B38" s="10"/>
      <c r="C38" s="10"/>
      <c r="D38" s="10"/>
    </row>
    <row r="39" customFormat="false" ht="15" hidden="false" customHeight="false" outlineLevel="0" collapsed="false">
      <c r="A39" s="18"/>
      <c r="B39" s="10"/>
      <c r="C39" s="10"/>
      <c r="D39" s="10"/>
    </row>
    <row r="40" customFormat="false" ht="15" hidden="false" customHeight="false" outlineLevel="0" collapsed="false">
      <c r="A40" s="18"/>
      <c r="B40" s="10"/>
      <c r="C40" s="10"/>
      <c r="D40" s="10"/>
    </row>
    <row r="41" customFormat="false" ht="15" hidden="false" customHeight="false" outlineLevel="0" collapsed="false">
      <c r="A41" s="18"/>
      <c r="B41" s="10"/>
      <c r="C41" s="10"/>
      <c r="D41" s="10"/>
    </row>
    <row r="42" customFormat="false" ht="15" hidden="false" customHeight="false" outlineLevel="0" collapsed="false">
      <c r="A42" s="18"/>
      <c r="B42" s="10"/>
      <c r="C42" s="10"/>
      <c r="D42" s="10"/>
    </row>
    <row r="43" customFormat="false" ht="15" hidden="false" customHeight="false" outlineLevel="0" collapsed="false">
      <c r="A43" s="18"/>
      <c r="B43" s="10"/>
      <c r="C43" s="10"/>
      <c r="D43" s="10"/>
    </row>
    <row r="44" customFormat="false" ht="15" hidden="false" customHeight="false" outlineLevel="0" collapsed="false">
      <c r="A44" s="18"/>
      <c r="B44" s="10"/>
      <c r="C44" s="10"/>
      <c r="D44" s="10"/>
    </row>
    <row r="45" customFormat="false" ht="15" hidden="false" customHeight="false" outlineLevel="0" collapsed="false">
      <c r="A45" s="18"/>
      <c r="B45" s="10"/>
      <c r="C45" s="10"/>
      <c r="D45" s="10"/>
    </row>
    <row r="46" customFormat="false" ht="15" hidden="false" customHeight="false" outlineLevel="0" collapsed="false">
      <c r="A46" s="18"/>
      <c r="B46" s="10"/>
      <c r="C46" s="10"/>
      <c r="D46" s="10"/>
    </row>
    <row r="47" customFormat="false" ht="15" hidden="false" customHeight="false" outlineLevel="0" collapsed="false">
      <c r="A47" s="18"/>
      <c r="B47" s="10"/>
      <c r="C47" s="10"/>
      <c r="D47" s="10"/>
    </row>
    <row r="48" customFormat="false" ht="15" hidden="false" customHeight="false" outlineLevel="0" collapsed="false">
      <c r="A48" s="18"/>
      <c r="B48" s="10"/>
      <c r="C48" s="10"/>
      <c r="D48" s="10"/>
    </row>
    <row r="49" customFormat="false" ht="15" hidden="false" customHeight="false" outlineLevel="0" collapsed="false">
      <c r="A49" s="18"/>
      <c r="B49" s="10"/>
      <c r="C49" s="10"/>
      <c r="D49" s="10"/>
    </row>
    <row r="50" customFormat="false" ht="15" hidden="false" customHeight="false" outlineLevel="0" collapsed="false">
      <c r="A50" s="18"/>
      <c r="B50" s="10"/>
      <c r="C50" s="10"/>
      <c r="D50" s="10"/>
    </row>
    <row r="51" customFormat="false" ht="15" hidden="false" customHeight="false" outlineLevel="0" collapsed="false">
      <c r="A51" s="18"/>
      <c r="B51" s="10"/>
      <c r="C51" s="10"/>
      <c r="D51" s="10"/>
    </row>
    <row r="52" customFormat="false" ht="15" hidden="false" customHeight="false" outlineLevel="0" collapsed="false">
      <c r="A52" s="18"/>
      <c r="B52" s="10"/>
      <c r="C52" s="10"/>
      <c r="D52" s="10"/>
    </row>
    <row r="53" customFormat="false" ht="15" hidden="false" customHeight="false" outlineLevel="0" collapsed="false">
      <c r="A53" s="18"/>
      <c r="B53" s="10"/>
      <c r="C53" s="10"/>
      <c r="D53" s="10"/>
    </row>
    <row r="54" customFormat="false" ht="15" hidden="false" customHeight="false" outlineLevel="0" collapsed="false">
      <c r="A54" s="18"/>
      <c r="B54" s="10"/>
      <c r="C54" s="10"/>
      <c r="D54" s="10"/>
    </row>
    <row r="55" customFormat="false" ht="15" hidden="false" customHeight="false" outlineLevel="0" collapsed="false">
      <c r="A55" s="18"/>
      <c r="B55" s="10"/>
      <c r="C55" s="10"/>
      <c r="D55" s="10"/>
    </row>
    <row r="56" customFormat="false" ht="15" hidden="false" customHeight="false" outlineLevel="0" collapsed="false">
      <c r="A56" s="18"/>
      <c r="B56" s="10"/>
      <c r="C56" s="10"/>
      <c r="D56" s="10"/>
    </row>
    <row r="57" customFormat="false" ht="15" hidden="false" customHeight="false" outlineLevel="0" collapsed="false">
      <c r="A57" s="18"/>
      <c r="B57" s="10"/>
      <c r="C57" s="10"/>
      <c r="D57" s="10"/>
    </row>
    <row r="58" customFormat="false" ht="15" hidden="false" customHeight="false" outlineLevel="0" collapsed="false">
      <c r="A58" s="18"/>
      <c r="B58" s="10"/>
      <c r="C58" s="10"/>
      <c r="D58" s="10"/>
    </row>
    <row r="59" customFormat="false" ht="15" hidden="false" customHeight="false" outlineLevel="0" collapsed="false">
      <c r="A59" s="18"/>
      <c r="B59" s="10"/>
      <c r="C59" s="10"/>
      <c r="D59" s="10"/>
    </row>
    <row r="60" customFormat="false" ht="15" hidden="false" customHeight="false" outlineLevel="0" collapsed="false">
      <c r="A60" s="18"/>
      <c r="B60" s="10"/>
      <c r="C60" s="10"/>
      <c r="D60" s="10"/>
    </row>
    <row r="61" customFormat="false" ht="15" hidden="false" customHeight="false" outlineLevel="0" collapsed="false">
      <c r="A61" s="18"/>
      <c r="B61" s="10"/>
      <c r="C61" s="10"/>
      <c r="D61" s="10"/>
    </row>
  </sheetData>
  <dataValidations count="1">
    <dataValidation allowBlank="true" errorStyle="stop" operator="between" showDropDown="false" showErrorMessage="false" showInputMessage="false" sqref="B5:B604" type="list">
      <formula1>"A,B,C,D,E"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2026-10-04T02:57:48Z</dcterms:created>
  <dc:creator>openpyxl</dc:creator>
  <dc:description/>
  <dc:language>en-US</dc:language>
  <cp:lastModifiedBy/>
  <dcterms:modified xsi:type="dcterms:W3CDTF">2026-10-04T02:57:48Z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