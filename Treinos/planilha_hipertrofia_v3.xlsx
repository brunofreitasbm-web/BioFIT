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" sheetId="1" r:id="rId5"/>
    <sheet state="visible" name="Bloco 1" sheetId="2" r:id="rId6"/>
    <sheet state="visible" name="Bloco 2" sheetId="3" r:id="rId7"/>
    <sheet state="visible" name="Bloco 3" sheetId="4" r:id="rId8"/>
    <sheet state="visible" name="Bloco 4" sheetId="5" r:id="rId9"/>
    <sheet state="visible" name="Postural Diário" sheetId="6" r:id="rId10"/>
    <sheet state="visible" name="Registro de Cargas" sheetId="7" r:id="rId11"/>
  </sheets>
  <definedNames/>
  <calcPr/>
</workbook>
</file>

<file path=xl/sharedStrings.xml><?xml version="1.0" encoding="utf-8"?>
<sst xmlns="http://schemas.openxmlformats.org/spreadsheetml/2006/main" count="749" uniqueCount="240">
  <si>
    <t>Bloco 2 — 15 dias (4 exposições por sessão) · troca completa de exercícios no bloco seguinte</t>
  </si>
  <si>
    <t>PROGRAMA DE HIPERTROFIA — PPL 6x/SEMANA COM ROTAÇÃO QUINZENAL</t>
  </si>
  <si>
    <t>Bloco 3 — 15 dias (4 exposições por sessão) · troca completa de exercícios no bloco seguinte</t>
  </si>
  <si>
    <t>Bloco 1 — 15 dias (4 exposições por sessão) · troca completa de exercícios no bloco seguinte</t>
  </si>
  <si>
    <t>PUSH  (Seg + Qui)</t>
  </si>
  <si>
    <t>Estrutura</t>
  </si>
  <si>
    <t>Ordem</t>
  </si>
  <si>
    <t>Exercício</t>
  </si>
  <si>
    <t>Séries</t>
  </si>
  <si>
    <t>Reps</t>
  </si>
  <si>
    <t>RIR alvo</t>
  </si>
  <si>
    <t>Descanso</t>
  </si>
  <si>
    <t>Execução</t>
  </si>
  <si>
    <t>Papel postural (cifose)</t>
  </si>
  <si>
    <t>Notas técnicas / cues</t>
  </si>
  <si>
    <t>Push / Pull / Legs repetido 2x por semana (Seg-Sáb, Dom off). Fase: MANUTENÇÃO/RECOMPOSIÇÃO. A sessão é 100% musculação: 6 exercícios; compostos principais com 4 séries, demais com 3 (panturrilha 4). O bloco postural NÃO ocupa tempo de academia — é feito em casa (ver aba 'Postural Diário').</t>
  </si>
  <si>
    <t>Supino inclinado na máquina</t>
  </si>
  <si>
    <t>Orçamento de tempo real</t>
  </si>
  <si>
    <t>6-9</t>
  </si>
  <si>
    <t>PUSH ~54 min · PULL ~57 min · LEGS ~57 min. Composição: aquecimento 5-6 min + aproximações nos 2 primeiros exercícios 5-8 min + 19-21 séries de trabalho ~35 min + trocas de aparelho ~7 min. Está NO LIMITE dos 60 min: se esperar aparelho, corte na ordem — 1º o 6º exercício (tríceps/bíceps/core), 2º a 4ª série do composto do slot 1. NUNCA os slots DIRETOS de postura (face pull, Y-raise, crucifixo inverso, remadas).</t>
  </si>
  <si>
    <t>ver Guia</t>
  </si>
  <si>
    <t>2-3 min</t>
  </si>
  <si>
    <t>Descida controlada</t>
  </si>
  <si>
    <t>Supino reto com barra</t>
  </si>
  <si>
    <t>Séries de aproximação (não contam no volume)</t>
  </si>
  <si>
    <t>INDIRETO — prática de retração escapular sob carga alta</t>
  </si>
  <si>
    <t>Faltavam na versão anterior e são a maior causa de lesão em quem tem pouco tempo. 1º exercício (composto pesado, 6-9 reps): 2-3 aproximações subindo até a carga de trabalho — ex.: 50%x8, 70%x5, 85%x2, com descanso curto entre elas. 2º exercício: 1 aproximação. Do 3º em diante: nenhuma. Com hipercifose e pressão acima da cabeça (desenvolvimento), pular a aproximação é exatamente onde o ombro se machuca.</t>
  </si>
  <si>
    <t>Escápulas retraídas e DEPRIMIDAS antes de tirar a barra do apoio, e assim durante toda a série. Se a escápula proteger no meio da série, a carga está alta demais para o objetivo postural.</t>
  </si>
  <si>
    <t>Rotação</t>
  </si>
  <si>
    <t>Desenvolvimento na máquina</t>
  </si>
  <si>
    <t>8-12</t>
  </si>
  <si>
    <t>Supino na máquina (convergente)</t>
  </si>
  <si>
    <t>4 blocos de 15 dias (Blocos 1-4 = 8 semanas). A cada bloco TODOS os exercícios mudam, mas o PADRÃO de movimento e o grupo muscular se mantêm — isso preserva alguma transferência de carga entre blocos.</t>
  </si>
  <si>
    <t>2 min</t>
  </si>
  <si>
    <t>Desenvolvimento sentado com halteres</t>
  </si>
  <si>
    <t>DIRETO — exige extensão torácica para amplitude completa</t>
  </si>
  <si>
    <t>Exposições por bloco</t>
  </si>
  <si>
    <t>Sem extensão torácica você não alcança amplitude sem impactar o ombro. Costelas baixas, sem compensar na lombar.</t>
  </si>
  <si>
    <t>Cada sessão roda 2x/semana → 4 exposições por exercício dentro do bloco. Progressão dentro do bloco: Exposição 1 = RIR 2-3 · Exp. 2 = RIR 2 · Exp. 3 = RIR 1 · Exp. 4 = RIR 0-1 (isoladores podem ir à falha na Exp. 4; compostos param em RIR 1).</t>
  </si>
  <si>
    <t>Peck deck (voador)</t>
  </si>
  <si>
    <t>10-15</t>
  </si>
  <si>
    <t>Progressão de carga</t>
  </si>
  <si>
    <t>90 s</t>
  </si>
  <si>
    <t>Quando fechar o topo da faixa de reps no RIR alvo em todas as séries, suba 2,5% (superiores) ou 5% (inferiores) na exposição seguinte. Ao trocar de bloco, comece o exercício novo com carga conservadora (RIR 3-4 na 1ª exposição) — as 1ªs sessões de um exercício novo têm forte componente de aprendizado motor.</t>
  </si>
  <si>
    <t>Sem impulso no alongamento</t>
  </si>
  <si>
    <t>INDIRETO — carrega peitoral e serrátil em alongamento</t>
  </si>
  <si>
    <t>Alongamento máximo controlado na excêntrica. Treina a cadeia anterior em comprimento longo sem encurtá-la.</t>
  </si>
  <si>
    <t>Ciclo completo</t>
  </si>
  <si>
    <t>Elevação lateral na polia (unilateral)</t>
  </si>
  <si>
    <t>Crucifixo na polia baixa (ascendente)</t>
  </si>
  <si>
    <t>Blocos 1→2→3→4 (8 semanas) → SEMANA 9 = DELOAD (metade das séries, RIR 4, mesmas cargas do Bloco 4 reduzidas em 10%) → reinicia no Bloco 1 com cargas de referência atualizadas.</t>
  </si>
  <si>
    <t>12-20</t>
  </si>
  <si>
    <t>Desenvolvimento Arnold</t>
  </si>
  <si>
    <t>60-90 s</t>
  </si>
  <si>
    <t>Sem impulso</t>
  </si>
  <si>
    <t>NEUTRO — vigiar dominância de trapézio superior</t>
  </si>
  <si>
    <t>Tronco ereto, sem encolher o ombro. Se o ombro sobe junto, pare a série.</t>
  </si>
  <si>
    <t>Tríceps na polia alta (barra reta)</t>
  </si>
  <si>
    <t>Volume semanal</t>
  </si>
  <si>
    <t>Crossover na polia alta</t>
  </si>
  <si>
    <t>Elevação lateral com halteres</t>
  </si>
  <si>
    <t>NEUTRO — só manter cabeça neutra</t>
  </si>
  <si>
    <t>Peito ~14 séries · Costas ~22 séries (deliberadamente maior — prioridade postural) · Deltoides ~14 · Quadríceps ~11-14 · Isquios/glúteos ~10-13 · Panturrilha ~8 · Tríceps ~12 diretas · Bíceps ~12 diretas · Core ~6. Em manutenção/recomposição a recuperação comporta esse volume; o limitador real agora é o tempo de sessão, não a dieta.</t>
  </si>
  <si>
    <t>Cotovelos estáveis; extensão completa sem projetar a cabeça à frente.</t>
  </si>
  <si>
    <t>Execução (sem contagem de tempo)</t>
  </si>
  <si>
    <t>Tríceps overhead na polia (corda)</t>
  </si>
  <si>
    <t>Não há cadência numérica prescrita — a evidência (Schoenfeld et al., 2015) mostra hipertrofia equivalente em durações de repetição entre ~0,5 s e 8 s, e contar tempo mentalmente rouba foco da produção de força. Regra única: SUBIR com intenção de força máxima, DESCER sem largar o peso. Só três situações exigem atenção extra, marcadas na coluna Execução: (1) posição alongada — nada de usar impulso na virada, é onde está o melhor estímulo e o maior risco; (2) remadas/posterior — 1 s de pausa na contração, porque é trabalho postural direto; (3) bloco postural — controle total, ali o objetivo é controle motor e não hipertrofia.</t>
  </si>
  <si>
    <t>60 s</t>
  </si>
  <si>
    <t>Tríceps na polia (corda)</t>
  </si>
  <si>
    <t>Cifose (avaliação clínica, sem imagem)</t>
  </si>
  <si>
    <t>NEUTRO — cabeça longa do tríceps em alongamento</t>
  </si>
  <si>
    <t>Braço acima da cabeça = cabeça longa em comprimento longo, onde ela mais responde. Cotovelos apontando para frente, sem abrir; descida profunda controlada.</t>
  </si>
  <si>
    <t>Tratada como hipercifose postural flexível. Estratégia tripla: (1) Bloco Postural EM CASA, 7 dias/semana — ver aba 'Postural Diário' (não rotaciona, e agora que saiu da academia pode rodar inclusive no domingo); (2) razão puxar:empurrar ~1,5:1 no volume semanal, que é o pilar que fica DENTRO da academia; (3) cues de retração escapular e extensão torácica nas notas de cada exercício. RISCO A VIGIAR: com o corretivo fora da academia ele vira opcional e é o primeiro a ser pulado. Se isso acontecer, sobra só a razão puxar:empurrar — que ajuda, mas sozinha não é a intervenção. Expectativa realista com adesão: 8-12 semanas para mudança visível; musculação não remodela curvatura estrutural.</t>
  </si>
  <si>
    <t>Elevação lateral no banco inclinado</t>
  </si>
  <si>
    <t>Lombar — padrão de dobradiça REMOVIDO</t>
  </si>
  <si>
    <t>Total de séries da sessão</t>
  </si>
  <si>
    <t>Tríceps francês sentado com halter (2 mãos)</t>
  </si>
  <si>
    <t>Terra romeno, stiff e good morning saíram por dor lombar relatada. Todo o slot 2 de perna virou trabalho de posterior/glúteo SEM carga axial na coluna (flexora sentada, elevação pélvica, extensão de quadril na polia). CUSTO REAL: você perde treino de isquiotibiais em comprimento muscular longo, que é onde a cabeça longa do bíceps femoral mais responde — flexora não substitui isso por completo. MITIGAÇÃO: a flexora SENTADA (quadril flexionado = isquios alongados) gera mais hipertrofia que a deitada exatamente por esse motivo (Maeo et al., 2021); por isso ela aparece nos Blocos 1 e 3, e não a cadeira flexora. ATUALIZAÇÃO: o agachamento LIVRE também saiu (incômodo lombar relatado) — substituído por goblet pesado/belt squat no Bloco 1. Frontal (B3), hack (B2) e Smith (B4) PERMANECEM SOB OBSERVAÇÃO: carga anterior ou guiada reduz o braço de momento na lombar, mas não zera a compressão axial. Qualquer incômodo neles, a linha inteira do slot 1 vira máquina (leg press / pêndulo / belt squat).</t>
  </si>
  <si>
    <t>Papel postural — leitura honesta</t>
  </si>
  <si>
    <t>Cada exercício tem uma coluna 'Papel postural'. DIRETO = treina musculatura ou padrão que a evidência liga à hipercifose (retratores escapulares, trapézio inferior, extensores torácicos). INDIRETO = ajuda por mecanismo secundário. NEUTRO = anatomicamente NÃO tem como servir à sua postura (panturrilha, rosca, extensora) — nesses, a única exigência é não reforçar o padrão errado: tronco ereto, cabeça neutra, ombro sem encolher. Distribuição real: PULL = 4 de 5 DIRETOS · PUSH = 1 DIRETO, 2 INDIRETOS · LEGS = 1 DIRETO, 1 INDIRETO. Forçar justificativa postural para flexora ou panturrilha seria invenção, e você saberia.</t>
  </si>
  <si>
    <t>Extensor torácico — lacuna COBERTA</t>
  </si>
  <si>
    <t>Tríceps francês unilateral (halter)</t>
  </si>
  <si>
    <t>Suas duas restrições conflitavam: o protocolo com melhor evidência para hipercifose (Katzman et al., 2017) é fortalecimento progressivo dos EXTENSORES TORÁCICOS, e esse padrão saiu do programa junto com terra/stiff/good morning por dor lombar. SOLUÇÃO IMPLEMENTADA: extensão torácica em PRONO no bloco de casa (aba 'Postural Diário', exercício 5), com progressão em 4 estágios de alavanca e carga. Quadril ancorado, amplitude de 5-10 cm, cisalhamento lombar praticamente nulo. Frequência 3-4x/semana e NÃO diária — é treino de força e precisa de recuperação. As outras duas fontes de extensor torácico continuam sendo o agachamento (sobretudo o frontal, Bloco 3) e a base diária do bloco postural.</t>
  </si>
  <si>
    <t>Cardio Zona 2</t>
  </si>
  <si>
    <t>2-3x/semana, 30-40 min a 60-70% FCmáx, em horário separado da musculação (tarde/noite) nos dias de PUSH e/ou domingo. Manter Z2 longe dos dias de perna reduz interferência com a recuperação de membros inferiores.</t>
  </si>
  <si>
    <t>Autorregulação</t>
  </si>
  <si>
    <t>Se 2 sessões seguidas com RIR real muito abaixo do previsto, sono ruim ou FC de repouso elevada: corte 1 série de cada exercício naquela semana. Em manutenção a recuperação tende a comportar o programa — se MESMO ASSIM os sinais aparecerem, o suspeito é sono/estresse, não a dieta.</t>
  </si>
  <si>
    <t>Como usar</t>
  </si>
  <si>
    <t>Abas Bloco 1-4 = prescrição. Aba 'Registro de Cargas' = seu diário: preencha as células amarelas a cada sessão. A planilha soma as séries de cada sessão automaticamente.</t>
  </si>
  <si>
    <t>Tríceps coice na polia (kickback)</t>
  </si>
  <si>
    <t>PULL  (Ter + Sex)</t>
  </si>
  <si>
    <t>Puxada frente pronada</t>
  </si>
  <si>
    <t>6-10</t>
  </si>
  <si>
    <t>Segurar 1s na contração</t>
  </si>
  <si>
    <t>DIRETO — depressão escapular e trapézio inferior</t>
  </si>
  <si>
    <t>Iniciar SEMPRE com depressão escapular antes de flexionar o cotovelo. Peito aberto, olhar neutro.</t>
  </si>
  <si>
    <t>Remada curvada com barra</t>
  </si>
  <si>
    <t>Puxada frente supinada</t>
  </si>
  <si>
    <t>Graviton (barra fixa assistida), pegada neutra</t>
  </si>
  <si>
    <t>8-10</t>
  </si>
  <si>
    <t>DIRETO — trapézio médio e romboides</t>
  </si>
  <si>
    <t>Puxar com o cotovelo; escápulas retraem no final. Tronco rígido, sem chicotear.</t>
  </si>
  <si>
    <t>Remada baixa (triângulo)</t>
  </si>
  <si>
    <t>10-12</t>
  </si>
  <si>
    <t>Remada cavalinho (T-bar)</t>
  </si>
  <si>
    <t>Remada com apoio de peito (máquina/banco)</t>
  </si>
  <si>
    <t>DIRETO — maior volume de retratores da semana</t>
  </si>
  <si>
    <t>Amplitude cheia com pausa de 1 s na retração — sem a pausa o trapézio médio quase não trabalha.</t>
  </si>
  <si>
    <t>Face pull na polia</t>
  </si>
  <si>
    <t>Segurar 1s, sem impulso</t>
  </si>
  <si>
    <t>DIRETO — slot mais específico para cifose</t>
  </si>
  <si>
    <t>Remada unilateral com halter</t>
  </si>
  <si>
    <t>Trapézio inferior + deltoide posterior. Carga leve, execução perfeita, ombro NÃO sobe. Não corte este por falta de tempo.</t>
  </si>
  <si>
    <t>Remada na máquina pegada neutra</t>
  </si>
  <si>
    <t>Rosca direta com barra</t>
  </si>
  <si>
    <t>NEUTRO — executar em pé, tronco ereto</t>
  </si>
  <si>
    <t>Cotovelos fixos ao tronco; descida controlada e completa.</t>
  </si>
  <si>
    <t>Y-raise prono no banco inclinado 30°</t>
  </si>
  <si>
    <t>Rosca inclinada com halteres</t>
  </si>
  <si>
    <t>NEUTRO — bíceps em ênfase de alongamento</t>
  </si>
  <si>
    <t>Crucifixo inverso na polia cruzada (em pé)</t>
  </si>
  <si>
    <t>Variações que deixam o cotovelo atrás ou à frente do tronco para trabalhar a fase alongada. Sem balanço de tronco — se balançar, a carga está alta.</t>
  </si>
  <si>
    <t>Rosca alternada com halteres</t>
  </si>
  <si>
    <t>Rosca na polia baixa (barra)</t>
  </si>
  <si>
    <t>Rosca martelo</t>
  </si>
  <si>
    <t>LEGS  (Qua + Sáb)</t>
  </si>
  <si>
    <t>Rosca bayesian na polia (unilateral)</t>
  </si>
  <si>
    <t>Agachamento goblet pesado (ou belt squat, se houver)</t>
  </si>
  <si>
    <t>DIRETO — extensão torácica sustentada sob carga axial</t>
  </si>
  <si>
    <t>Agachamento só é possível com a torácica estendida — se ela colapsa, a barra cai à frente. Maior estímulo de extensor torácico com carga alta do programa.</t>
  </si>
  <si>
    <t>Flexora sentada (seated leg curl)</t>
  </si>
  <si>
    <t>NEUTRO — apoiado, sem carga na coluna</t>
  </si>
  <si>
    <t>Substitui o padrão de dobradiça (terra/stiff/good morning) retirado por dor lombar. Amplitude completa, quadril fixo no apoio.</t>
  </si>
  <si>
    <t>Hack squat</t>
  </si>
  <si>
    <t>Leg press 45°</t>
  </si>
  <si>
    <t>NEUTRO — manter tronco ereto no unilateral</t>
  </si>
  <si>
    <t>Controle na descida; joelho alinhado com o pé. Nas variações em pé, tronco vertical e escápulas retraídas.</t>
  </si>
  <si>
    <t>Flexora deitada</t>
  </si>
  <si>
    <t>Elevação pélvica na máquina</t>
  </si>
  <si>
    <t>INDIRETO — glúteo forte reduz báscula pélvica compensatória</t>
  </si>
  <si>
    <t>Pausa de 1 s no pico. Extensão vem do quadril, não da lombar — costelas baixas no topo.</t>
  </si>
  <si>
    <t>Agachamento búlgaro com halteres</t>
  </si>
  <si>
    <t>Panturrilha em pé</t>
  </si>
  <si>
    <t>45-60 s</t>
  </si>
  <si>
    <t>Pausa no alongamento e no topo</t>
  </si>
  <si>
    <t>NEUTRO — cabeça neutra, sem projetar à frente</t>
  </si>
  <si>
    <t>Pausa de 1 s no alongamento total e 1 s no topo.</t>
  </si>
  <si>
    <t>Extensão de quadril na polia (unilateral)</t>
  </si>
  <si>
    <t>Prancha frontal com carga</t>
  </si>
  <si>
    <t>10-15 / 30-45 s</t>
  </si>
  <si>
    <t>Controle total</t>
  </si>
  <si>
    <t>NEUTRO — core sem comprometer a lombar</t>
  </si>
  <si>
    <t>Panturrilha sentado</t>
  </si>
  <si>
    <t>Nas pranchas: lombar neutra, glúteo contraído, sem deixar o quadril cair. Nos crunches: a flexão vem do abdome, não do pescoço, e a lombar fica apoiada. Zero tolerância a dor lombar aqui.</t>
  </si>
  <si>
    <t>Agachamento frontal</t>
  </si>
  <si>
    <t>Abdominal na polia alta (cable crunch)</t>
  </si>
  <si>
    <t>Flexora sentada unilateral</t>
  </si>
  <si>
    <t>Leg press unilateral</t>
  </si>
  <si>
    <t>Elevação pélvica unilateral</t>
  </si>
  <si>
    <t>Panturrilha no leg press</t>
  </si>
  <si>
    <t>Abdominal na máquina</t>
  </si>
  <si>
    <t>Bloco 4 — 15 dias (4 exposições por sessão) · troca completa de exercícios no bloco seguinte</t>
  </si>
  <si>
    <t>Supino reto com halteres</t>
  </si>
  <si>
    <t>Desenvolvimento militar em pé (barra)</t>
  </si>
  <si>
    <t>Crucifixo reto com halteres</t>
  </si>
  <si>
    <t>Elevação lateral na máquina</t>
  </si>
  <si>
    <t>Paralelas no Graviton (tronco ereto)</t>
  </si>
  <si>
    <t>Tríceps overhead unilateral na polia</t>
  </si>
  <si>
    <t>Puxada neutra fechada</t>
  </si>
  <si>
    <t>Remada Pendlay (ou curvada com halteres)</t>
  </si>
  <si>
    <t>Remada alta na polia p/ posterior (rope)</t>
  </si>
  <si>
    <t>Crucifixo inverso na máquina</t>
  </si>
  <si>
    <t>Rosca Scott</t>
  </si>
  <si>
    <t>Rosca martelo na polia (corda)</t>
  </si>
  <si>
    <t>Agachamento no Smith</t>
  </si>
  <si>
    <t>Hip thrust com barra</t>
  </si>
  <si>
    <t>Cadeira extensora</t>
  </si>
  <si>
    <t>Panturrilha em pé unilateral</t>
  </si>
  <si>
    <t>Prancha lateral (30 s por lado)</t>
  </si>
  <si>
    <t>BLOCO POSTURAL — EM CASA. Base diária (ex. 1-4) + extensão torácica carregada (ex. 5, 3-4x/semana)</t>
  </si>
  <si>
    <t>REGISTRO DE CARGAS — preencha as células amarelas a cada sessão</t>
  </si>
  <si>
    <t>Não rotaciona: trabalho corretivo depende de frequência alta e do MESMO padrão motor repetido — o oposto da lógica de variação para hipertrofia. Melhor horário: fim do dia, depois de horas sentado, que é quando o padrão está mais degradado. ATENÇÃO À FREQUÊNCIA: os exercícios 1-4 são de baixa carga (mobilidade e controle motor) e toleram uso diário. O exercício 5 é TREINO DE FORÇA para os extensores torácicos — precisa de recuperação como qualquer outro, por isso 3-4x/semana e não 7.</t>
  </si>
  <si>
    <t>Legenda: células AMARELAS = você preenche. Linha 5 é um exemplo do formato esperado — substitua pelos seus dados. Compare sempre a mesma exposição entre semanas (ex.: Exp. 2 do Bloco 1 vs Exp. 2 do Bloco 2 no mesmo padrão de movimento).</t>
  </si>
  <si>
    <t>Data</t>
  </si>
  <si>
    <t>Bloco</t>
  </si>
  <si>
    <t>Sessão</t>
  </si>
  <si>
    <t>Reps/Tempo</t>
  </si>
  <si>
    <t>Frequência</t>
  </si>
  <si>
    <t>Série</t>
  </si>
  <si>
    <t>Execução e porquê</t>
  </si>
  <si>
    <t>Carga (kg)</t>
  </si>
  <si>
    <t>RIR real</t>
  </si>
  <si>
    <t>Observações</t>
  </si>
  <si>
    <t>10/08/2026</t>
  </si>
  <si>
    <t>Extensão torácica no rolo (foam roller)</t>
  </si>
  <si>
    <t>Bloco 1</t>
  </si>
  <si>
    <t>PUSH</t>
  </si>
  <si>
    <t>Exemplo — apagar e substituir</t>
  </si>
  <si>
    <t>7x/semana</t>
  </si>
  <si>
    <t>Rolo na altura das escápulas, mãos atrás da cabeça, estender a torácica sobre o rolo sem hiperextender a lombar. Mobiliza os segmentos rígidos em extensão — pré-requisito para o exercício 5 funcionar. Faça SEMPRE antes dele.</t>
  </si>
  <si>
    <t>Wall slide</t>
  </si>
  <si>
    <t>Costas na parede, lombar neutra, deslizar antebraços mantendo contato. Ativa trapézio inferior e serrátil com a torácica estendida.</t>
  </si>
  <si>
    <t>Band pull-apart (pegada pronada)</t>
  </si>
  <si>
    <t>15-20</t>
  </si>
  <si>
    <t>Braços à frente na altura do peito, abrir a faixa com escápulas retraindo no final. Volta lenta e controlada, sem deixar a faixa puxar o braço. Resistência de trapézio médio e romboides.</t>
  </si>
  <si>
    <t>Chin tuck (retração cervical)</t>
  </si>
  <si>
    <t>10 x 3 s</t>
  </si>
  <si>
    <t>Deslizar o queixo para trás (sem inclinar), segurar 3 s. A anteriorização de cabeça acompanha a hipercifose; fortalecer flexores profundos do pescoço fecha o circuito.</t>
  </si>
  <si>
    <t>EXTENSÃO TORÁCICA EM PRONO — ver progressão abaixo</t>
  </si>
  <si>
    <t>3-4x/semana</t>
  </si>
  <si>
    <t>É O EXERCÍCIO MAIS IMPORTANTE DESTA ABA. Deitado de bruços, quadril e pernas ANCORADOS (peso do corpo na cama/banco, ou alguém segurando os tornozelos). Levantar o ESTERNO do chão — não a lombar. Amplitude pequena: 5-10 cm bastam. Olhar para o chão o tempo todo, sem estender o pescoço. Pausa de 2 s no topo. SE SENTIR NA LOMBAR, você está usando o segmento errado: reduza a amplitude pela metade e ancore melhor o quadril.</t>
  </si>
  <si>
    <t>PROGRESSÃO DO EXERCÍCIO 5 — avance de estágio só quando fechar o critério em 3 séries, sem dor lombar. Não pule estágios.</t>
  </si>
  <si>
    <t>Estágio</t>
  </si>
  <si>
    <t>Posição dos braços</t>
  </si>
  <si>
    <t>Séries x Reps</t>
  </si>
  <si>
    <t>Critério para avançar</t>
  </si>
  <si>
    <t>Semanas (estimativa)</t>
  </si>
  <si>
    <t>Observação</t>
  </si>
  <si>
    <t>E1</t>
  </si>
  <si>
    <t>Ao lado do corpo</t>
  </si>
  <si>
    <t>3 x 10-12</t>
  </si>
  <si>
    <t>3x12 com pausa de 2 s, sem dor lombar</t>
  </si>
  <si>
    <t>Semanas 1-2</t>
  </si>
  <si>
    <t>Alavanca mais curta. Se doer já aqui, pare e reavalie com o profissional que te avaliou.</t>
  </si>
  <si>
    <t>E2</t>
  </si>
  <si>
    <t>Mãos nas têmporas</t>
  </si>
  <si>
    <t>3x12 com pausa de 2 s</t>
  </si>
  <si>
    <t>Semanas 3-5</t>
  </si>
  <si>
    <t>Aumenta o braço de momento sem nenhuma carga externa.</t>
  </si>
  <si>
    <t>E3</t>
  </si>
  <si>
    <t>Braços em Y acima da cabeça</t>
  </si>
  <si>
    <t>3 x 8-12</t>
  </si>
  <si>
    <t>Semanas 6-9</t>
  </si>
  <si>
    <t>Recruta trapézio inferior junto com os extensores torácicos — o combo mais específico que existe para hipercifose.</t>
  </si>
  <si>
    <t>E4</t>
  </si>
  <si>
    <t>Y + carga nas mãos (1-2 kg)</t>
  </si>
  <si>
    <t>Progredir 0,5-1 kg ao fechar 3x12</t>
  </si>
  <si>
    <t>Semana 10+</t>
  </si>
  <si>
    <t>Anilha, halter leve ou garrafa de água. É aqui que vira treino de força de verdade e o estímulo deixa de estagnar.</t>
  </si>
  <si>
    <t>POR QUE ESTE EXERCÍCIO ENTROU: o protocolo com melhor evidência para hipercifose (Katzman et al., 2017, JAGS — RCT, 6 meses, 3x/semana) é fortalecimento progressivo dos EXTENSORES TORÁCICOS, e foi exatamente esse estímulo que o programa perdeu ao remover terra, stiff e good morning por dor lombar. A extensão em prono repõe o estímulo sem cisalhamento lombar: quadril ancorado, alavanca curta, amplitude pequena, resistência vinda do braço de momento e não de peso sobre a coluna. Fora da academia: pausas de 30 s a cada ~45 min sentado (extensão torácica ativa + retração escapular). O bloco não compensa 10 h/dia de flexão torácica na mesa.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</si>
</sst>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1F3864"/>
      <name val="Arial"/>
    </font>
    <font>
      <b/>
      <sz val="14.0"/>
      <color rgb="FF1F3864"/>
      <name val="Arial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1.0"/>
      <color rgb="FF1F386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D9E2F2"/>
        <bgColor rgb="FFD9E2F2"/>
      </patternFill>
    </fill>
    <fill>
      <patternFill patternType="solid">
        <fgColor rgb="FFF2F2F2"/>
        <bgColor rgb="FFF2F2F2"/>
      </patternFill>
    </fill>
    <fill>
      <patternFill patternType="solid">
        <fgColor rgb="FF2E7D32"/>
        <bgColor rgb="FF2E7D32"/>
      </patternFill>
    </fill>
    <fill>
      <patternFill patternType="solid">
        <fgColor rgb="FFB45F06"/>
        <bgColor rgb="FFB45F06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shrinkToFit="0" vertical="top" wrapText="1"/>
    </xf>
    <xf borderId="4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shrinkToFit="0" vertical="bottom" wrapText="0"/>
    </xf>
    <xf borderId="4" fillId="5" fontId="8" numFmtId="0" xfId="0" applyAlignment="1" applyBorder="1" applyFill="1" applyFont="1">
      <alignment horizontal="center" shrinkToFit="0" vertical="bottom" wrapText="0"/>
    </xf>
    <xf borderId="1" fillId="6" fontId="3" numFmtId="0" xfId="0" applyAlignment="1" applyBorder="1" applyFill="1" applyFont="1">
      <alignment horizontal="left" shrinkToFit="0" vertical="center" wrapText="0"/>
    </xf>
    <xf borderId="1" fillId="7" fontId="3" numFmtId="0" xfId="0" applyAlignment="1" applyBorder="1" applyFill="1" applyFont="1">
      <alignment horizontal="left" shrinkToFit="0" vertical="center" wrapText="0"/>
    </xf>
    <xf borderId="0" fillId="0" fontId="9" numFmtId="0" xfId="0" applyAlignment="1" applyFont="1">
      <alignment shrinkToFit="0" vertical="top" wrapText="1"/>
    </xf>
    <xf borderId="4" fillId="0" fontId="7" numFmtId="0" xfId="0" applyAlignment="1" applyBorder="1" applyFont="1">
      <alignment horizontal="center" shrinkToFit="0" vertical="top" wrapText="0"/>
    </xf>
    <xf borderId="4" fillId="8" fontId="9" numFmtId="0" xfId="0" applyAlignment="1" applyBorder="1" applyFill="1" applyFont="1">
      <alignment shrinkToFit="0" vertical="bottom" wrapText="0"/>
    </xf>
    <xf borderId="4" fillId="0" fontId="7" numFmtId="0" xfId="0" applyAlignment="1" applyBorder="1" applyFont="1">
      <alignment horizontal="left" shrinkToFit="0" vertical="top" wrapText="1"/>
    </xf>
    <xf borderId="4" fillId="9" fontId="7" numFmtId="0" xfId="0" applyAlignment="1" applyBorder="1" applyFill="1" applyFont="1">
      <alignment shrinkToFit="0" vertical="bottom" wrapText="0"/>
    </xf>
    <xf borderId="4" fillId="8" fontId="8" numFmtId="0" xfId="0" applyAlignment="1" applyBorder="1" applyFont="1">
      <alignment horizontal="center" shrinkToFit="0" vertical="top" wrapText="0"/>
    </xf>
    <xf borderId="4" fillId="8" fontId="8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2" t="s">
        <v>1</v>
      </c>
    </row>
    <row r="3" ht="55.5" customHeight="1">
      <c r="A3" s="7" t="s">
        <v>5</v>
      </c>
      <c r="B3" s="9" t="s">
        <v>15</v>
      </c>
    </row>
    <row r="4" ht="69.75" customHeight="1">
      <c r="A4" s="7" t="s">
        <v>17</v>
      </c>
      <c r="B4" s="9" t="s">
        <v>19</v>
      </c>
    </row>
    <row r="5" ht="69.75" customHeight="1">
      <c r="A5" s="7" t="s">
        <v>24</v>
      </c>
      <c r="B5" s="9" t="s">
        <v>26</v>
      </c>
    </row>
    <row r="6" ht="42.0" customHeight="1">
      <c r="A6" s="7" t="s">
        <v>28</v>
      </c>
      <c r="B6" s="9" t="s">
        <v>32</v>
      </c>
    </row>
    <row r="7" ht="42.0" customHeight="1">
      <c r="A7" s="7" t="s">
        <v>36</v>
      </c>
      <c r="B7" s="9" t="s">
        <v>38</v>
      </c>
    </row>
    <row r="8" ht="55.5" customHeight="1">
      <c r="A8" s="7" t="s">
        <v>41</v>
      </c>
      <c r="B8" s="9" t="s">
        <v>43</v>
      </c>
    </row>
    <row r="9" ht="30.0" customHeight="1">
      <c r="A9" s="7" t="s">
        <v>47</v>
      </c>
      <c r="B9" s="9" t="s">
        <v>50</v>
      </c>
    </row>
    <row r="10" ht="55.5" customHeight="1">
      <c r="A10" s="7" t="s">
        <v>58</v>
      </c>
      <c r="B10" s="9" t="s">
        <v>62</v>
      </c>
    </row>
    <row r="11" ht="97.5" customHeight="1">
      <c r="A11" s="7" t="s">
        <v>64</v>
      </c>
      <c r="B11" s="9" t="s">
        <v>66</v>
      </c>
    </row>
    <row r="12" ht="111.75" customHeight="1">
      <c r="A12" s="7" t="s">
        <v>69</v>
      </c>
      <c r="B12" s="9" t="s">
        <v>72</v>
      </c>
    </row>
    <row r="13" ht="153.75" customHeight="1">
      <c r="A13" s="7" t="s">
        <v>74</v>
      </c>
      <c r="B13" s="9" t="s">
        <v>77</v>
      </c>
    </row>
    <row r="14" ht="97.5" customHeight="1">
      <c r="A14" s="7" t="s">
        <v>78</v>
      </c>
      <c r="B14" s="9" t="s">
        <v>79</v>
      </c>
    </row>
    <row r="15" ht="111.75" customHeight="1">
      <c r="A15" s="7" t="s">
        <v>80</v>
      </c>
      <c r="B15" s="9" t="s">
        <v>82</v>
      </c>
    </row>
    <row r="16" ht="42.0" customHeight="1">
      <c r="A16" s="7" t="s">
        <v>83</v>
      </c>
      <c r="B16" s="9" t="s">
        <v>84</v>
      </c>
    </row>
    <row r="17" ht="42.0" customHeight="1">
      <c r="A17" s="7" t="s">
        <v>85</v>
      </c>
      <c r="B17" s="9" t="s">
        <v>86</v>
      </c>
    </row>
    <row r="18" ht="30.0" customHeight="1">
      <c r="A18" s="7" t="s">
        <v>87</v>
      </c>
      <c r="B18" s="9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3.0"/>
    <col customWidth="1" min="3" max="3" width="7.0"/>
    <col customWidth="1" min="4" max="4" width="8.0"/>
    <col customWidth="1" min="5" max="5" width="10.0"/>
    <col customWidth="1" min="6" max="6" width="9.0"/>
    <col customWidth="1" min="7" max="7" width="22.0"/>
    <col customWidth="1" min="8" max="8" width="34.0"/>
    <col customWidth="1" min="9" max="9" width="50.0"/>
    <col customWidth="1" min="10" max="26" width="8.71"/>
  </cols>
  <sheetData>
    <row r="1">
      <c r="A1" s="1" t="s">
        <v>3</v>
      </c>
    </row>
    <row r="3">
      <c r="A3" s="3" t="s">
        <v>4</v>
      </c>
      <c r="B3" s="4"/>
      <c r="C3" s="4"/>
      <c r="D3" s="4"/>
      <c r="E3" s="4"/>
      <c r="F3" s="4"/>
      <c r="G3" s="4"/>
      <c r="H3" s="4"/>
      <c r="I3" s="5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</row>
    <row r="5" ht="45.75" customHeight="1">
      <c r="A5" s="8">
        <v>1.0</v>
      </c>
      <c r="B5" s="10" t="s">
        <v>23</v>
      </c>
      <c r="C5" s="8">
        <v>4.0</v>
      </c>
      <c r="D5" s="8" t="s">
        <v>18</v>
      </c>
      <c r="E5" s="8" t="s">
        <v>20</v>
      </c>
      <c r="F5" s="8" t="s">
        <v>21</v>
      </c>
      <c r="G5" s="8" t="s">
        <v>22</v>
      </c>
      <c r="H5" s="10" t="s">
        <v>25</v>
      </c>
      <c r="I5" s="10" t="s">
        <v>27</v>
      </c>
    </row>
    <row r="6" ht="45.75" customHeight="1">
      <c r="A6" s="8">
        <v>2.0</v>
      </c>
      <c r="B6" s="10" t="s">
        <v>34</v>
      </c>
      <c r="C6" s="8">
        <v>3.0</v>
      </c>
      <c r="D6" s="8" t="s">
        <v>30</v>
      </c>
      <c r="E6" s="8" t="s">
        <v>20</v>
      </c>
      <c r="F6" s="8" t="s">
        <v>33</v>
      </c>
      <c r="G6" s="8" t="s">
        <v>22</v>
      </c>
      <c r="H6" s="10" t="s">
        <v>35</v>
      </c>
      <c r="I6" s="10" t="s">
        <v>37</v>
      </c>
    </row>
    <row r="7" ht="45.75" customHeight="1">
      <c r="A7" s="8">
        <v>3.0</v>
      </c>
      <c r="B7" s="10" t="s">
        <v>49</v>
      </c>
      <c r="C7" s="8">
        <v>3.0</v>
      </c>
      <c r="D7" s="8" t="s">
        <v>40</v>
      </c>
      <c r="E7" s="8" t="s">
        <v>20</v>
      </c>
      <c r="F7" s="8" t="s">
        <v>42</v>
      </c>
      <c r="G7" s="8" t="s">
        <v>44</v>
      </c>
      <c r="H7" s="10" t="s">
        <v>45</v>
      </c>
      <c r="I7" s="10" t="s">
        <v>46</v>
      </c>
    </row>
    <row r="8" ht="45.75" customHeight="1">
      <c r="A8" s="8">
        <v>4.0</v>
      </c>
      <c r="B8" s="10" t="s">
        <v>60</v>
      </c>
      <c r="C8" s="8">
        <v>3.0</v>
      </c>
      <c r="D8" s="8" t="s">
        <v>51</v>
      </c>
      <c r="E8" s="8" t="s">
        <v>20</v>
      </c>
      <c r="F8" s="8" t="s">
        <v>53</v>
      </c>
      <c r="G8" s="8" t="s">
        <v>54</v>
      </c>
      <c r="H8" s="10" t="s">
        <v>55</v>
      </c>
      <c r="I8" s="10" t="s">
        <v>56</v>
      </c>
    </row>
    <row r="9" ht="45.75" customHeight="1">
      <c r="A9" s="8">
        <v>5.0</v>
      </c>
      <c r="B9" s="10" t="s">
        <v>68</v>
      </c>
      <c r="C9" s="8">
        <v>3.0</v>
      </c>
      <c r="D9" s="8" t="s">
        <v>40</v>
      </c>
      <c r="E9" s="8" t="s">
        <v>20</v>
      </c>
      <c r="F9" s="8" t="s">
        <v>53</v>
      </c>
      <c r="G9" s="8" t="s">
        <v>54</v>
      </c>
      <c r="H9" s="10" t="s">
        <v>61</v>
      </c>
      <c r="I9" s="10" t="s">
        <v>63</v>
      </c>
    </row>
    <row r="10" ht="45.75" customHeight="1">
      <c r="A10" s="8">
        <v>6.0</v>
      </c>
      <c r="B10" s="10" t="s">
        <v>76</v>
      </c>
      <c r="C10" s="8">
        <v>3.0</v>
      </c>
      <c r="D10" s="8" t="s">
        <v>40</v>
      </c>
      <c r="E10" s="8" t="s">
        <v>20</v>
      </c>
      <c r="F10" s="8" t="s">
        <v>67</v>
      </c>
      <c r="G10" s="8" t="s">
        <v>44</v>
      </c>
      <c r="H10" s="10" t="s">
        <v>70</v>
      </c>
      <c r="I10" s="10" t="s">
        <v>71</v>
      </c>
    </row>
    <row r="11">
      <c r="B11" s="11" t="s">
        <v>75</v>
      </c>
      <c r="C11" s="12">
        <f>SUM(C5:C10)</f>
        <v>19</v>
      </c>
    </row>
    <row r="13">
      <c r="A13" s="13" t="s">
        <v>90</v>
      </c>
      <c r="B13" s="4"/>
      <c r="C13" s="4"/>
      <c r="D13" s="4"/>
      <c r="E13" s="4"/>
      <c r="F13" s="4"/>
      <c r="G13" s="4"/>
      <c r="H13" s="4"/>
      <c r="I13" s="5"/>
    </row>
    <row r="14">
      <c r="A14" s="6" t="s">
        <v>6</v>
      </c>
      <c r="B14" s="6" t="s">
        <v>7</v>
      </c>
      <c r="C14" s="6" t="s">
        <v>8</v>
      </c>
      <c r="D14" s="6" t="s">
        <v>9</v>
      </c>
      <c r="E14" s="6" t="s">
        <v>10</v>
      </c>
      <c r="F14" s="6" t="s">
        <v>11</v>
      </c>
      <c r="G14" s="6" t="s">
        <v>12</v>
      </c>
      <c r="H14" s="6" t="s">
        <v>13</v>
      </c>
      <c r="I14" s="6" t="s">
        <v>14</v>
      </c>
    </row>
    <row r="15" ht="45.75" customHeight="1">
      <c r="A15" s="8">
        <v>1.0</v>
      </c>
      <c r="B15" s="10" t="s">
        <v>91</v>
      </c>
      <c r="C15" s="8">
        <v>4.0</v>
      </c>
      <c r="D15" s="8" t="s">
        <v>92</v>
      </c>
      <c r="E15" s="8" t="s">
        <v>20</v>
      </c>
      <c r="F15" s="8" t="s">
        <v>21</v>
      </c>
      <c r="G15" s="8" t="s">
        <v>93</v>
      </c>
      <c r="H15" s="10" t="s">
        <v>94</v>
      </c>
      <c r="I15" s="10" t="s">
        <v>95</v>
      </c>
    </row>
    <row r="16" ht="45.75" customHeight="1">
      <c r="A16" s="8">
        <v>2.0</v>
      </c>
      <c r="B16" s="10" t="s">
        <v>96</v>
      </c>
      <c r="C16" s="8">
        <v>4.0</v>
      </c>
      <c r="D16" s="8" t="s">
        <v>99</v>
      </c>
      <c r="E16" s="8" t="s">
        <v>20</v>
      </c>
      <c r="F16" s="8" t="s">
        <v>21</v>
      </c>
      <c r="G16" s="8" t="s">
        <v>93</v>
      </c>
      <c r="H16" s="10" t="s">
        <v>100</v>
      </c>
      <c r="I16" s="10" t="s">
        <v>101</v>
      </c>
    </row>
    <row r="17" ht="45.75" customHeight="1">
      <c r="A17" s="8">
        <v>3.0</v>
      </c>
      <c r="B17" s="10" t="s">
        <v>102</v>
      </c>
      <c r="C17" s="8">
        <v>3.0</v>
      </c>
      <c r="D17" s="8" t="s">
        <v>103</v>
      </c>
      <c r="E17" s="8" t="s">
        <v>20</v>
      </c>
      <c r="F17" s="8" t="s">
        <v>42</v>
      </c>
      <c r="G17" s="8" t="s">
        <v>93</v>
      </c>
      <c r="H17" s="10" t="s">
        <v>106</v>
      </c>
      <c r="I17" s="10" t="s">
        <v>107</v>
      </c>
    </row>
    <row r="18" ht="45.75" customHeight="1">
      <c r="A18" s="8">
        <v>4.0</v>
      </c>
      <c r="B18" s="10" t="s">
        <v>108</v>
      </c>
      <c r="C18" s="8">
        <v>3.0</v>
      </c>
      <c r="D18" s="8" t="s">
        <v>51</v>
      </c>
      <c r="E18" s="8" t="s">
        <v>20</v>
      </c>
      <c r="F18" s="8" t="s">
        <v>53</v>
      </c>
      <c r="G18" s="8" t="s">
        <v>109</v>
      </c>
      <c r="H18" s="10" t="s">
        <v>110</v>
      </c>
      <c r="I18" s="10" t="s">
        <v>112</v>
      </c>
    </row>
    <row r="19" ht="45.75" customHeight="1">
      <c r="A19" s="8">
        <v>5.0</v>
      </c>
      <c r="B19" s="10" t="s">
        <v>114</v>
      </c>
      <c r="C19" s="8">
        <v>3.0</v>
      </c>
      <c r="D19" s="8" t="s">
        <v>30</v>
      </c>
      <c r="E19" s="8" t="s">
        <v>20</v>
      </c>
      <c r="F19" s="8" t="s">
        <v>53</v>
      </c>
      <c r="G19" s="8" t="s">
        <v>54</v>
      </c>
      <c r="H19" s="10" t="s">
        <v>115</v>
      </c>
      <c r="I19" s="10" t="s">
        <v>116</v>
      </c>
    </row>
    <row r="20" ht="45.75" customHeight="1">
      <c r="A20" s="8">
        <v>6.0</v>
      </c>
      <c r="B20" s="10" t="s">
        <v>118</v>
      </c>
      <c r="C20" s="8">
        <v>3.0</v>
      </c>
      <c r="D20" s="8" t="s">
        <v>40</v>
      </c>
      <c r="E20" s="8" t="s">
        <v>20</v>
      </c>
      <c r="F20" s="8" t="s">
        <v>67</v>
      </c>
      <c r="G20" s="8" t="s">
        <v>44</v>
      </c>
      <c r="H20" s="10" t="s">
        <v>119</v>
      </c>
      <c r="I20" s="10" t="s">
        <v>121</v>
      </c>
    </row>
    <row r="21" ht="15.75" customHeight="1">
      <c r="B21" s="11" t="s">
        <v>75</v>
      </c>
      <c r="C21" s="12">
        <f>SUM(C15:C20)</f>
        <v>20</v>
      </c>
    </row>
    <row r="22" ht="15.75" customHeight="1"/>
    <row r="23" ht="15.75" customHeight="1">
      <c r="A23" s="14" t="s">
        <v>125</v>
      </c>
      <c r="B23" s="4"/>
      <c r="C23" s="4"/>
      <c r="D23" s="4"/>
      <c r="E23" s="4"/>
      <c r="F23" s="4"/>
      <c r="G23" s="4"/>
      <c r="H23" s="4"/>
      <c r="I23" s="5"/>
    </row>
    <row r="24" ht="15.75" customHeight="1">
      <c r="A24" s="6" t="s">
        <v>6</v>
      </c>
      <c r="B24" s="6" t="s">
        <v>7</v>
      </c>
      <c r="C24" s="6" t="s">
        <v>8</v>
      </c>
      <c r="D24" s="6" t="s">
        <v>9</v>
      </c>
      <c r="E24" s="6" t="s">
        <v>10</v>
      </c>
      <c r="F24" s="6" t="s">
        <v>11</v>
      </c>
      <c r="G24" s="6" t="s">
        <v>12</v>
      </c>
      <c r="H24" s="6" t="s">
        <v>13</v>
      </c>
      <c r="I24" s="6" t="s">
        <v>14</v>
      </c>
    </row>
    <row r="25" ht="45.75" customHeight="1">
      <c r="A25" s="8">
        <v>1.0</v>
      </c>
      <c r="B25" s="10" t="s">
        <v>127</v>
      </c>
      <c r="C25" s="8">
        <v>4.0</v>
      </c>
      <c r="D25" s="8" t="s">
        <v>18</v>
      </c>
      <c r="E25" s="8" t="s">
        <v>20</v>
      </c>
      <c r="F25" s="8" t="s">
        <v>21</v>
      </c>
      <c r="G25" s="8" t="s">
        <v>22</v>
      </c>
      <c r="H25" s="10" t="s">
        <v>128</v>
      </c>
      <c r="I25" s="10" t="s">
        <v>129</v>
      </c>
    </row>
    <row r="26" ht="45.75" customHeight="1">
      <c r="A26" s="8">
        <v>2.0</v>
      </c>
      <c r="B26" s="10" t="s">
        <v>130</v>
      </c>
      <c r="C26" s="8">
        <v>3.0</v>
      </c>
      <c r="D26" s="8" t="s">
        <v>30</v>
      </c>
      <c r="E26" s="8" t="s">
        <v>20</v>
      </c>
      <c r="F26" s="8" t="s">
        <v>33</v>
      </c>
      <c r="G26" s="8" t="s">
        <v>22</v>
      </c>
      <c r="H26" s="10" t="s">
        <v>131</v>
      </c>
      <c r="I26" s="10" t="s">
        <v>132</v>
      </c>
    </row>
    <row r="27" ht="45.75" customHeight="1">
      <c r="A27" s="8">
        <v>3.0</v>
      </c>
      <c r="B27" s="10" t="s">
        <v>134</v>
      </c>
      <c r="C27" s="8">
        <v>3.0</v>
      </c>
      <c r="D27" s="8" t="s">
        <v>103</v>
      </c>
      <c r="E27" s="8" t="s">
        <v>20</v>
      </c>
      <c r="F27" s="8" t="s">
        <v>42</v>
      </c>
      <c r="G27" s="8" t="s">
        <v>22</v>
      </c>
      <c r="H27" s="10" t="s">
        <v>135</v>
      </c>
      <c r="I27" s="10" t="s">
        <v>136</v>
      </c>
    </row>
    <row r="28" ht="45.75" customHeight="1">
      <c r="A28" s="8">
        <v>4.0</v>
      </c>
      <c r="B28" s="10" t="s">
        <v>138</v>
      </c>
      <c r="C28" s="8">
        <v>3.0</v>
      </c>
      <c r="D28" s="8" t="s">
        <v>40</v>
      </c>
      <c r="E28" s="8" t="s">
        <v>20</v>
      </c>
      <c r="F28" s="8" t="s">
        <v>53</v>
      </c>
      <c r="G28" s="8" t="s">
        <v>54</v>
      </c>
      <c r="H28" s="10" t="s">
        <v>139</v>
      </c>
      <c r="I28" s="10" t="s">
        <v>140</v>
      </c>
    </row>
    <row r="29" ht="45.75" customHeight="1">
      <c r="A29" s="8">
        <v>5.0</v>
      </c>
      <c r="B29" s="10" t="s">
        <v>142</v>
      </c>
      <c r="C29" s="8">
        <v>4.0</v>
      </c>
      <c r="D29" s="8" t="s">
        <v>40</v>
      </c>
      <c r="E29" s="8" t="s">
        <v>20</v>
      </c>
      <c r="F29" s="8" t="s">
        <v>143</v>
      </c>
      <c r="G29" s="8" t="s">
        <v>144</v>
      </c>
      <c r="H29" s="10" t="s">
        <v>145</v>
      </c>
      <c r="I29" s="10" t="s">
        <v>146</v>
      </c>
    </row>
    <row r="30" ht="45.75" customHeight="1">
      <c r="A30" s="8">
        <v>6.0</v>
      </c>
      <c r="B30" s="10" t="s">
        <v>148</v>
      </c>
      <c r="C30" s="8">
        <v>3.0</v>
      </c>
      <c r="D30" s="8" t="s">
        <v>149</v>
      </c>
      <c r="E30" s="8" t="s">
        <v>20</v>
      </c>
      <c r="F30" s="8" t="s">
        <v>143</v>
      </c>
      <c r="G30" s="8" t="s">
        <v>150</v>
      </c>
      <c r="H30" s="10" t="s">
        <v>151</v>
      </c>
      <c r="I30" s="10" t="s">
        <v>153</v>
      </c>
    </row>
    <row r="31" ht="15.75" customHeight="1">
      <c r="B31" s="11" t="s">
        <v>75</v>
      </c>
      <c r="C31" s="12">
        <f>SUM(C25:C30)</f>
        <v>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3:I3"/>
    <mergeCell ref="A13:I13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3.0"/>
    <col customWidth="1" min="3" max="3" width="7.0"/>
    <col customWidth="1" min="4" max="4" width="8.0"/>
    <col customWidth="1" min="5" max="5" width="10.0"/>
    <col customWidth="1" min="6" max="6" width="9.0"/>
    <col customWidth="1" min="7" max="7" width="22.0"/>
    <col customWidth="1" min="8" max="8" width="34.0"/>
    <col customWidth="1" min="9" max="9" width="50.0"/>
    <col customWidth="1" min="10" max="26" width="8.71"/>
  </cols>
  <sheetData>
    <row r="1">
      <c r="A1" s="1" t="s">
        <v>0</v>
      </c>
    </row>
    <row r="3">
      <c r="A3" s="3" t="s">
        <v>4</v>
      </c>
      <c r="B3" s="4"/>
      <c r="C3" s="4"/>
      <c r="D3" s="4"/>
      <c r="E3" s="4"/>
      <c r="F3" s="4"/>
      <c r="G3" s="4"/>
      <c r="H3" s="4"/>
      <c r="I3" s="5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</row>
    <row r="5" ht="45.75" customHeight="1">
      <c r="A5" s="8">
        <v>1.0</v>
      </c>
      <c r="B5" s="10" t="s">
        <v>16</v>
      </c>
      <c r="C5" s="8">
        <v>4.0</v>
      </c>
      <c r="D5" s="8" t="s">
        <v>18</v>
      </c>
      <c r="E5" s="8" t="s">
        <v>20</v>
      </c>
      <c r="F5" s="8" t="s">
        <v>21</v>
      </c>
      <c r="G5" s="8" t="s">
        <v>22</v>
      </c>
      <c r="H5" s="10" t="s">
        <v>25</v>
      </c>
      <c r="I5" s="10" t="s">
        <v>27</v>
      </c>
    </row>
    <row r="6" ht="45.75" customHeight="1">
      <c r="A6" s="8">
        <v>2.0</v>
      </c>
      <c r="B6" s="10" t="s">
        <v>29</v>
      </c>
      <c r="C6" s="8">
        <v>3.0</v>
      </c>
      <c r="D6" s="8" t="s">
        <v>30</v>
      </c>
      <c r="E6" s="8" t="s">
        <v>20</v>
      </c>
      <c r="F6" s="8" t="s">
        <v>33</v>
      </c>
      <c r="G6" s="8" t="s">
        <v>22</v>
      </c>
      <c r="H6" s="10" t="s">
        <v>35</v>
      </c>
      <c r="I6" s="10" t="s">
        <v>37</v>
      </c>
    </row>
    <row r="7" ht="45.75" customHeight="1">
      <c r="A7" s="8">
        <v>3.0</v>
      </c>
      <c r="B7" s="10" t="s">
        <v>39</v>
      </c>
      <c r="C7" s="8">
        <v>3.0</v>
      </c>
      <c r="D7" s="8" t="s">
        <v>40</v>
      </c>
      <c r="E7" s="8" t="s">
        <v>20</v>
      </c>
      <c r="F7" s="8" t="s">
        <v>42</v>
      </c>
      <c r="G7" s="8" t="s">
        <v>44</v>
      </c>
      <c r="H7" s="10" t="s">
        <v>45</v>
      </c>
      <c r="I7" s="10" t="s">
        <v>46</v>
      </c>
    </row>
    <row r="8" ht="45.75" customHeight="1">
      <c r="A8" s="8">
        <v>4.0</v>
      </c>
      <c r="B8" s="10" t="s">
        <v>48</v>
      </c>
      <c r="C8" s="8">
        <v>3.0</v>
      </c>
      <c r="D8" s="8" t="s">
        <v>51</v>
      </c>
      <c r="E8" s="8" t="s">
        <v>20</v>
      </c>
      <c r="F8" s="8" t="s">
        <v>53</v>
      </c>
      <c r="G8" s="8" t="s">
        <v>54</v>
      </c>
      <c r="H8" s="10" t="s">
        <v>55</v>
      </c>
      <c r="I8" s="10" t="s">
        <v>56</v>
      </c>
    </row>
    <row r="9" ht="45.75" customHeight="1">
      <c r="A9" s="8">
        <v>5.0</v>
      </c>
      <c r="B9" s="10" t="s">
        <v>57</v>
      </c>
      <c r="C9" s="8">
        <v>3.0</v>
      </c>
      <c r="D9" s="8" t="s">
        <v>40</v>
      </c>
      <c r="E9" s="8" t="s">
        <v>20</v>
      </c>
      <c r="F9" s="8" t="s">
        <v>53</v>
      </c>
      <c r="G9" s="8" t="s">
        <v>54</v>
      </c>
      <c r="H9" s="10" t="s">
        <v>61</v>
      </c>
      <c r="I9" s="10" t="s">
        <v>63</v>
      </c>
    </row>
    <row r="10" ht="45.75" customHeight="1">
      <c r="A10" s="8">
        <v>6.0</v>
      </c>
      <c r="B10" s="10" t="s">
        <v>65</v>
      </c>
      <c r="C10" s="8">
        <v>3.0</v>
      </c>
      <c r="D10" s="8" t="s">
        <v>40</v>
      </c>
      <c r="E10" s="8" t="s">
        <v>20</v>
      </c>
      <c r="F10" s="8" t="s">
        <v>67</v>
      </c>
      <c r="G10" s="8" t="s">
        <v>44</v>
      </c>
      <c r="H10" s="10" t="s">
        <v>70</v>
      </c>
      <c r="I10" s="10" t="s">
        <v>71</v>
      </c>
    </row>
    <row r="11">
      <c r="B11" s="11" t="s">
        <v>75</v>
      </c>
      <c r="C11" s="12">
        <f>SUM(C5:C10)</f>
        <v>19</v>
      </c>
    </row>
    <row r="13">
      <c r="A13" s="13" t="s">
        <v>90</v>
      </c>
      <c r="B13" s="4"/>
      <c r="C13" s="4"/>
      <c r="D13" s="4"/>
      <c r="E13" s="4"/>
      <c r="F13" s="4"/>
      <c r="G13" s="4"/>
      <c r="H13" s="4"/>
      <c r="I13" s="5"/>
    </row>
    <row r="14">
      <c r="A14" s="6" t="s">
        <v>6</v>
      </c>
      <c r="B14" s="6" t="s">
        <v>7</v>
      </c>
      <c r="C14" s="6" t="s">
        <v>8</v>
      </c>
      <c r="D14" s="6" t="s">
        <v>9</v>
      </c>
      <c r="E14" s="6" t="s">
        <v>10</v>
      </c>
      <c r="F14" s="6" t="s">
        <v>11</v>
      </c>
      <c r="G14" s="6" t="s">
        <v>12</v>
      </c>
      <c r="H14" s="6" t="s">
        <v>13</v>
      </c>
      <c r="I14" s="6" t="s">
        <v>14</v>
      </c>
    </row>
    <row r="15" ht="45.75" customHeight="1">
      <c r="A15" s="8">
        <v>1.0</v>
      </c>
      <c r="B15" s="10" t="s">
        <v>98</v>
      </c>
      <c r="C15" s="8">
        <v>4.0</v>
      </c>
      <c r="D15" s="8" t="s">
        <v>92</v>
      </c>
      <c r="E15" s="8" t="s">
        <v>20</v>
      </c>
      <c r="F15" s="8" t="s">
        <v>21</v>
      </c>
      <c r="G15" s="8" t="s">
        <v>93</v>
      </c>
      <c r="H15" s="10" t="s">
        <v>94</v>
      </c>
      <c r="I15" s="10" t="s">
        <v>95</v>
      </c>
    </row>
    <row r="16" ht="45.75" customHeight="1">
      <c r="A16" s="8">
        <v>2.0</v>
      </c>
      <c r="B16" s="10" t="s">
        <v>105</v>
      </c>
      <c r="C16" s="8">
        <v>4.0</v>
      </c>
      <c r="D16" s="8" t="s">
        <v>99</v>
      </c>
      <c r="E16" s="8" t="s">
        <v>20</v>
      </c>
      <c r="F16" s="8" t="s">
        <v>21</v>
      </c>
      <c r="G16" s="8" t="s">
        <v>93</v>
      </c>
      <c r="H16" s="10" t="s">
        <v>100</v>
      </c>
      <c r="I16" s="10" t="s">
        <v>101</v>
      </c>
    </row>
    <row r="17" ht="45.75" customHeight="1">
      <c r="A17" s="8">
        <v>3.0</v>
      </c>
      <c r="B17" s="10" t="s">
        <v>111</v>
      </c>
      <c r="C17" s="8">
        <v>3.0</v>
      </c>
      <c r="D17" s="8" t="s">
        <v>103</v>
      </c>
      <c r="E17" s="8" t="s">
        <v>20</v>
      </c>
      <c r="F17" s="8" t="s">
        <v>42</v>
      </c>
      <c r="G17" s="8" t="s">
        <v>93</v>
      </c>
      <c r="H17" s="10" t="s">
        <v>106</v>
      </c>
      <c r="I17" s="10" t="s">
        <v>107</v>
      </c>
    </row>
    <row r="18" ht="45.75" customHeight="1">
      <c r="A18" s="8">
        <v>4.0</v>
      </c>
      <c r="B18" s="10" t="s">
        <v>117</v>
      </c>
      <c r="C18" s="8">
        <v>3.0</v>
      </c>
      <c r="D18" s="8" t="s">
        <v>51</v>
      </c>
      <c r="E18" s="8" t="s">
        <v>20</v>
      </c>
      <c r="F18" s="8" t="s">
        <v>53</v>
      </c>
      <c r="G18" s="8" t="s">
        <v>109</v>
      </c>
      <c r="H18" s="10" t="s">
        <v>110</v>
      </c>
      <c r="I18" s="10" t="s">
        <v>112</v>
      </c>
    </row>
    <row r="19" ht="45.75" customHeight="1">
      <c r="A19" s="8">
        <v>5.0</v>
      </c>
      <c r="B19" s="10" t="s">
        <v>122</v>
      </c>
      <c r="C19" s="8">
        <v>3.0</v>
      </c>
      <c r="D19" s="8" t="s">
        <v>30</v>
      </c>
      <c r="E19" s="8" t="s">
        <v>20</v>
      </c>
      <c r="F19" s="8" t="s">
        <v>53</v>
      </c>
      <c r="G19" s="8" t="s">
        <v>54</v>
      </c>
      <c r="H19" s="10" t="s">
        <v>115</v>
      </c>
      <c r="I19" s="10" t="s">
        <v>116</v>
      </c>
    </row>
    <row r="20" ht="45.75" customHeight="1">
      <c r="A20" s="8">
        <v>6.0</v>
      </c>
      <c r="B20" s="10" t="s">
        <v>123</v>
      </c>
      <c r="C20" s="8">
        <v>3.0</v>
      </c>
      <c r="D20" s="8" t="s">
        <v>40</v>
      </c>
      <c r="E20" s="8" t="s">
        <v>20</v>
      </c>
      <c r="F20" s="8" t="s">
        <v>67</v>
      </c>
      <c r="G20" s="8" t="s">
        <v>44</v>
      </c>
      <c r="H20" s="10" t="s">
        <v>119</v>
      </c>
      <c r="I20" s="10" t="s">
        <v>121</v>
      </c>
    </row>
    <row r="21" ht="15.75" customHeight="1">
      <c r="B21" s="11" t="s">
        <v>75</v>
      </c>
      <c r="C21" s="12">
        <f>SUM(C15:C20)</f>
        <v>20</v>
      </c>
    </row>
    <row r="22" ht="15.75" customHeight="1"/>
    <row r="23" ht="15.75" customHeight="1">
      <c r="A23" s="14" t="s">
        <v>125</v>
      </c>
      <c r="B23" s="4"/>
      <c r="C23" s="4"/>
      <c r="D23" s="4"/>
      <c r="E23" s="4"/>
      <c r="F23" s="4"/>
      <c r="G23" s="4"/>
      <c r="H23" s="4"/>
      <c r="I23" s="5"/>
    </row>
    <row r="24" ht="15.75" customHeight="1">
      <c r="A24" s="6" t="s">
        <v>6</v>
      </c>
      <c r="B24" s="6" t="s">
        <v>7</v>
      </c>
      <c r="C24" s="6" t="s">
        <v>8</v>
      </c>
      <c r="D24" s="6" t="s">
        <v>9</v>
      </c>
      <c r="E24" s="6" t="s">
        <v>10</v>
      </c>
      <c r="F24" s="6" t="s">
        <v>11</v>
      </c>
      <c r="G24" s="6" t="s">
        <v>12</v>
      </c>
      <c r="H24" s="6" t="s">
        <v>13</v>
      </c>
      <c r="I24" s="6" t="s">
        <v>14</v>
      </c>
    </row>
    <row r="25" ht="45.75" customHeight="1">
      <c r="A25" s="8">
        <v>1.0</v>
      </c>
      <c r="B25" s="10" t="s">
        <v>133</v>
      </c>
      <c r="C25" s="8">
        <v>4.0</v>
      </c>
      <c r="D25" s="8" t="s">
        <v>18</v>
      </c>
      <c r="E25" s="8" t="s">
        <v>20</v>
      </c>
      <c r="F25" s="8" t="s">
        <v>21</v>
      </c>
      <c r="G25" s="8" t="s">
        <v>22</v>
      </c>
      <c r="H25" s="10" t="s">
        <v>128</v>
      </c>
      <c r="I25" s="10" t="s">
        <v>129</v>
      </c>
    </row>
    <row r="26" ht="45.75" customHeight="1">
      <c r="A26" s="8">
        <v>2.0</v>
      </c>
      <c r="B26" s="10" t="s">
        <v>137</v>
      </c>
      <c r="C26" s="8">
        <v>3.0</v>
      </c>
      <c r="D26" s="8" t="s">
        <v>30</v>
      </c>
      <c r="E26" s="8" t="s">
        <v>20</v>
      </c>
      <c r="F26" s="8" t="s">
        <v>33</v>
      </c>
      <c r="G26" s="8" t="s">
        <v>22</v>
      </c>
      <c r="H26" s="10" t="s">
        <v>131</v>
      </c>
      <c r="I26" s="10" t="s">
        <v>132</v>
      </c>
    </row>
    <row r="27" ht="45.75" customHeight="1">
      <c r="A27" s="8">
        <v>3.0</v>
      </c>
      <c r="B27" s="10" t="s">
        <v>141</v>
      </c>
      <c r="C27" s="8">
        <v>3.0</v>
      </c>
      <c r="D27" s="8" t="s">
        <v>103</v>
      </c>
      <c r="E27" s="8" t="s">
        <v>20</v>
      </c>
      <c r="F27" s="8" t="s">
        <v>42</v>
      </c>
      <c r="G27" s="8" t="s">
        <v>22</v>
      </c>
      <c r="H27" s="10" t="s">
        <v>135</v>
      </c>
      <c r="I27" s="10" t="s">
        <v>136</v>
      </c>
    </row>
    <row r="28" ht="45.75" customHeight="1">
      <c r="A28" s="8">
        <v>4.0</v>
      </c>
      <c r="B28" s="10" t="s">
        <v>147</v>
      </c>
      <c r="C28" s="8">
        <v>3.0</v>
      </c>
      <c r="D28" s="8" t="s">
        <v>40</v>
      </c>
      <c r="E28" s="8" t="s">
        <v>20</v>
      </c>
      <c r="F28" s="8" t="s">
        <v>53</v>
      </c>
      <c r="G28" s="8" t="s">
        <v>54</v>
      </c>
      <c r="H28" s="10" t="s">
        <v>139</v>
      </c>
      <c r="I28" s="10" t="s">
        <v>140</v>
      </c>
    </row>
    <row r="29" ht="45.75" customHeight="1">
      <c r="A29" s="8">
        <v>5.0</v>
      </c>
      <c r="B29" s="10" t="s">
        <v>152</v>
      </c>
      <c r="C29" s="8">
        <v>4.0</v>
      </c>
      <c r="D29" s="8" t="s">
        <v>40</v>
      </c>
      <c r="E29" s="8" t="s">
        <v>20</v>
      </c>
      <c r="F29" s="8" t="s">
        <v>143</v>
      </c>
      <c r="G29" s="8" t="s">
        <v>144</v>
      </c>
      <c r="H29" s="10" t="s">
        <v>145</v>
      </c>
      <c r="I29" s="10" t="s">
        <v>146</v>
      </c>
    </row>
    <row r="30" ht="45.75" customHeight="1">
      <c r="A30" s="8">
        <v>6.0</v>
      </c>
      <c r="B30" s="10" t="s">
        <v>155</v>
      </c>
      <c r="C30" s="8">
        <v>3.0</v>
      </c>
      <c r="D30" s="8" t="s">
        <v>149</v>
      </c>
      <c r="E30" s="8" t="s">
        <v>20</v>
      </c>
      <c r="F30" s="8" t="s">
        <v>143</v>
      </c>
      <c r="G30" s="8" t="s">
        <v>150</v>
      </c>
      <c r="H30" s="10" t="s">
        <v>151</v>
      </c>
      <c r="I30" s="10" t="s">
        <v>153</v>
      </c>
    </row>
    <row r="31" ht="15.75" customHeight="1">
      <c r="B31" s="11" t="s">
        <v>75</v>
      </c>
      <c r="C31" s="12">
        <f>SUM(C25:C30)</f>
        <v>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3:I3"/>
    <mergeCell ref="A13:I13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3.0"/>
    <col customWidth="1" min="3" max="3" width="7.0"/>
    <col customWidth="1" min="4" max="4" width="8.0"/>
    <col customWidth="1" min="5" max="5" width="10.0"/>
    <col customWidth="1" min="6" max="6" width="9.0"/>
    <col customWidth="1" min="7" max="7" width="22.0"/>
    <col customWidth="1" min="8" max="8" width="34.0"/>
    <col customWidth="1" min="9" max="9" width="50.0"/>
    <col customWidth="1" min="10" max="26" width="8.71"/>
  </cols>
  <sheetData>
    <row r="1">
      <c r="A1" s="1" t="s">
        <v>2</v>
      </c>
    </row>
    <row r="3">
      <c r="A3" s="3" t="s">
        <v>4</v>
      </c>
      <c r="B3" s="4"/>
      <c r="C3" s="4"/>
      <c r="D3" s="4"/>
      <c r="E3" s="4"/>
      <c r="F3" s="4"/>
      <c r="G3" s="4"/>
      <c r="H3" s="4"/>
      <c r="I3" s="5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</row>
    <row r="5" ht="45.75" customHeight="1">
      <c r="A5" s="8">
        <v>1.0</v>
      </c>
      <c r="B5" s="10" t="s">
        <v>31</v>
      </c>
      <c r="C5" s="8">
        <v>4.0</v>
      </c>
      <c r="D5" s="8" t="s">
        <v>18</v>
      </c>
      <c r="E5" s="8" t="s">
        <v>20</v>
      </c>
      <c r="F5" s="8" t="s">
        <v>21</v>
      </c>
      <c r="G5" s="8" t="s">
        <v>22</v>
      </c>
      <c r="H5" s="10" t="s">
        <v>25</v>
      </c>
      <c r="I5" s="10" t="s">
        <v>27</v>
      </c>
    </row>
    <row r="6" ht="45.75" customHeight="1">
      <c r="A6" s="8">
        <v>2.0</v>
      </c>
      <c r="B6" s="10" t="s">
        <v>52</v>
      </c>
      <c r="C6" s="8">
        <v>3.0</v>
      </c>
      <c r="D6" s="8" t="s">
        <v>30</v>
      </c>
      <c r="E6" s="8" t="s">
        <v>20</v>
      </c>
      <c r="F6" s="8" t="s">
        <v>33</v>
      </c>
      <c r="G6" s="8" t="s">
        <v>22</v>
      </c>
      <c r="H6" s="10" t="s">
        <v>35</v>
      </c>
      <c r="I6" s="10" t="s">
        <v>37</v>
      </c>
    </row>
    <row r="7" ht="45.75" customHeight="1">
      <c r="A7" s="8">
        <v>3.0</v>
      </c>
      <c r="B7" s="10" t="s">
        <v>59</v>
      </c>
      <c r="C7" s="8">
        <v>3.0</v>
      </c>
      <c r="D7" s="8" t="s">
        <v>40</v>
      </c>
      <c r="E7" s="8" t="s">
        <v>20</v>
      </c>
      <c r="F7" s="8" t="s">
        <v>42</v>
      </c>
      <c r="G7" s="8" t="s">
        <v>44</v>
      </c>
      <c r="H7" s="10" t="s">
        <v>45</v>
      </c>
      <c r="I7" s="10" t="s">
        <v>46</v>
      </c>
    </row>
    <row r="8" ht="45.75" customHeight="1">
      <c r="A8" s="8">
        <v>4.0</v>
      </c>
      <c r="B8" s="10" t="s">
        <v>73</v>
      </c>
      <c r="C8" s="8">
        <v>3.0</v>
      </c>
      <c r="D8" s="8" t="s">
        <v>51</v>
      </c>
      <c r="E8" s="8" t="s">
        <v>20</v>
      </c>
      <c r="F8" s="8" t="s">
        <v>53</v>
      </c>
      <c r="G8" s="8" t="s">
        <v>54</v>
      </c>
      <c r="H8" s="10" t="s">
        <v>55</v>
      </c>
      <c r="I8" s="10" t="s">
        <v>56</v>
      </c>
    </row>
    <row r="9" ht="45.75" customHeight="1">
      <c r="A9" s="8">
        <v>5.0</v>
      </c>
      <c r="B9" s="10" t="s">
        <v>81</v>
      </c>
      <c r="C9" s="8">
        <v>3.0</v>
      </c>
      <c r="D9" s="8" t="s">
        <v>40</v>
      </c>
      <c r="E9" s="8" t="s">
        <v>20</v>
      </c>
      <c r="F9" s="8" t="s">
        <v>53</v>
      </c>
      <c r="G9" s="8" t="s">
        <v>54</v>
      </c>
      <c r="H9" s="10" t="s">
        <v>61</v>
      </c>
      <c r="I9" s="10" t="s">
        <v>63</v>
      </c>
    </row>
    <row r="10" ht="45.75" customHeight="1">
      <c r="A10" s="8">
        <v>6.0</v>
      </c>
      <c r="B10" s="10" t="s">
        <v>89</v>
      </c>
      <c r="C10" s="8">
        <v>3.0</v>
      </c>
      <c r="D10" s="8" t="s">
        <v>40</v>
      </c>
      <c r="E10" s="8" t="s">
        <v>20</v>
      </c>
      <c r="F10" s="8" t="s">
        <v>67</v>
      </c>
      <c r="G10" s="8" t="s">
        <v>44</v>
      </c>
      <c r="H10" s="10" t="s">
        <v>70</v>
      </c>
      <c r="I10" s="10" t="s">
        <v>71</v>
      </c>
    </row>
    <row r="11">
      <c r="B11" s="11" t="s">
        <v>75</v>
      </c>
      <c r="C11" s="12">
        <f>SUM(C5:C10)</f>
        <v>19</v>
      </c>
    </row>
    <row r="13">
      <c r="A13" s="13" t="s">
        <v>90</v>
      </c>
      <c r="B13" s="4"/>
      <c r="C13" s="4"/>
      <c r="D13" s="4"/>
      <c r="E13" s="4"/>
      <c r="F13" s="4"/>
      <c r="G13" s="4"/>
      <c r="H13" s="4"/>
      <c r="I13" s="5"/>
    </row>
    <row r="14">
      <c r="A14" s="6" t="s">
        <v>6</v>
      </c>
      <c r="B14" s="6" t="s">
        <v>7</v>
      </c>
      <c r="C14" s="6" t="s">
        <v>8</v>
      </c>
      <c r="D14" s="6" t="s">
        <v>9</v>
      </c>
      <c r="E14" s="6" t="s">
        <v>10</v>
      </c>
      <c r="F14" s="6" t="s">
        <v>11</v>
      </c>
      <c r="G14" s="6" t="s">
        <v>12</v>
      </c>
      <c r="H14" s="6" t="s">
        <v>13</v>
      </c>
      <c r="I14" s="6" t="s">
        <v>14</v>
      </c>
    </row>
    <row r="15" ht="45.75" customHeight="1">
      <c r="A15" s="8">
        <v>1.0</v>
      </c>
      <c r="B15" s="10" t="s">
        <v>97</v>
      </c>
      <c r="C15" s="8">
        <v>4.0</v>
      </c>
      <c r="D15" s="8" t="s">
        <v>92</v>
      </c>
      <c r="E15" s="8" t="s">
        <v>20</v>
      </c>
      <c r="F15" s="8" t="s">
        <v>21</v>
      </c>
      <c r="G15" s="8" t="s">
        <v>93</v>
      </c>
      <c r="H15" s="10" t="s">
        <v>94</v>
      </c>
      <c r="I15" s="10" t="s">
        <v>95</v>
      </c>
    </row>
    <row r="16" ht="45.75" customHeight="1">
      <c r="A16" s="8">
        <v>2.0</v>
      </c>
      <c r="B16" s="10" t="s">
        <v>104</v>
      </c>
      <c r="C16" s="8">
        <v>4.0</v>
      </c>
      <c r="D16" s="8" t="s">
        <v>99</v>
      </c>
      <c r="E16" s="8" t="s">
        <v>20</v>
      </c>
      <c r="F16" s="8" t="s">
        <v>21</v>
      </c>
      <c r="G16" s="8" t="s">
        <v>93</v>
      </c>
      <c r="H16" s="10" t="s">
        <v>100</v>
      </c>
      <c r="I16" s="10" t="s">
        <v>101</v>
      </c>
    </row>
    <row r="17" ht="45.75" customHeight="1">
      <c r="A17" s="8">
        <v>3.0</v>
      </c>
      <c r="B17" s="10" t="s">
        <v>113</v>
      </c>
      <c r="C17" s="8">
        <v>3.0</v>
      </c>
      <c r="D17" s="8" t="s">
        <v>103</v>
      </c>
      <c r="E17" s="8" t="s">
        <v>20</v>
      </c>
      <c r="F17" s="8" t="s">
        <v>42</v>
      </c>
      <c r="G17" s="8" t="s">
        <v>93</v>
      </c>
      <c r="H17" s="10" t="s">
        <v>106</v>
      </c>
      <c r="I17" s="10" t="s">
        <v>107</v>
      </c>
    </row>
    <row r="18" ht="45.75" customHeight="1">
      <c r="A18" s="8">
        <v>4.0</v>
      </c>
      <c r="B18" s="10" t="s">
        <v>120</v>
      </c>
      <c r="C18" s="8">
        <v>3.0</v>
      </c>
      <c r="D18" s="8" t="s">
        <v>51</v>
      </c>
      <c r="E18" s="8" t="s">
        <v>20</v>
      </c>
      <c r="F18" s="8" t="s">
        <v>53</v>
      </c>
      <c r="G18" s="8" t="s">
        <v>109</v>
      </c>
      <c r="H18" s="10" t="s">
        <v>110</v>
      </c>
      <c r="I18" s="10" t="s">
        <v>112</v>
      </c>
    </row>
    <row r="19" ht="45.75" customHeight="1">
      <c r="A19" s="8">
        <v>5.0</v>
      </c>
      <c r="B19" s="10" t="s">
        <v>124</v>
      </c>
      <c r="C19" s="8">
        <v>3.0</v>
      </c>
      <c r="D19" s="8" t="s">
        <v>30</v>
      </c>
      <c r="E19" s="8" t="s">
        <v>20</v>
      </c>
      <c r="F19" s="8" t="s">
        <v>53</v>
      </c>
      <c r="G19" s="8" t="s">
        <v>54</v>
      </c>
      <c r="H19" s="10" t="s">
        <v>115</v>
      </c>
      <c r="I19" s="10" t="s">
        <v>116</v>
      </c>
    </row>
    <row r="20" ht="45.75" customHeight="1">
      <c r="A20" s="8">
        <v>6.0</v>
      </c>
      <c r="B20" s="10" t="s">
        <v>126</v>
      </c>
      <c r="C20" s="8">
        <v>3.0</v>
      </c>
      <c r="D20" s="8" t="s">
        <v>40</v>
      </c>
      <c r="E20" s="8" t="s">
        <v>20</v>
      </c>
      <c r="F20" s="8" t="s">
        <v>67</v>
      </c>
      <c r="G20" s="8" t="s">
        <v>44</v>
      </c>
      <c r="H20" s="10" t="s">
        <v>119</v>
      </c>
      <c r="I20" s="10" t="s">
        <v>121</v>
      </c>
    </row>
    <row r="21" ht="15.75" customHeight="1">
      <c r="B21" s="11" t="s">
        <v>75</v>
      </c>
      <c r="C21" s="12">
        <f>SUM(C15:C20)</f>
        <v>20</v>
      </c>
    </row>
    <row r="22" ht="15.75" customHeight="1"/>
    <row r="23" ht="15.75" customHeight="1">
      <c r="A23" s="14" t="s">
        <v>125</v>
      </c>
      <c r="B23" s="4"/>
      <c r="C23" s="4"/>
      <c r="D23" s="4"/>
      <c r="E23" s="4"/>
      <c r="F23" s="4"/>
      <c r="G23" s="4"/>
      <c r="H23" s="4"/>
      <c r="I23" s="5"/>
    </row>
    <row r="24" ht="15.75" customHeight="1">
      <c r="A24" s="6" t="s">
        <v>6</v>
      </c>
      <c r="B24" s="6" t="s">
        <v>7</v>
      </c>
      <c r="C24" s="6" t="s">
        <v>8</v>
      </c>
      <c r="D24" s="6" t="s">
        <v>9</v>
      </c>
      <c r="E24" s="6" t="s">
        <v>10</v>
      </c>
      <c r="F24" s="6" t="s">
        <v>11</v>
      </c>
      <c r="G24" s="6" t="s">
        <v>12</v>
      </c>
      <c r="H24" s="6" t="s">
        <v>13</v>
      </c>
      <c r="I24" s="6" t="s">
        <v>14</v>
      </c>
    </row>
    <row r="25" ht="45.75" customHeight="1">
      <c r="A25" s="8">
        <v>1.0</v>
      </c>
      <c r="B25" s="10" t="s">
        <v>154</v>
      </c>
      <c r="C25" s="8">
        <v>4.0</v>
      </c>
      <c r="D25" s="8" t="s">
        <v>18</v>
      </c>
      <c r="E25" s="8" t="s">
        <v>20</v>
      </c>
      <c r="F25" s="8" t="s">
        <v>21</v>
      </c>
      <c r="G25" s="8" t="s">
        <v>22</v>
      </c>
      <c r="H25" s="10" t="s">
        <v>128</v>
      </c>
      <c r="I25" s="10" t="s">
        <v>129</v>
      </c>
    </row>
    <row r="26" ht="45.75" customHeight="1">
      <c r="A26" s="8">
        <v>2.0</v>
      </c>
      <c r="B26" s="10" t="s">
        <v>156</v>
      </c>
      <c r="C26" s="8">
        <v>3.0</v>
      </c>
      <c r="D26" s="8" t="s">
        <v>30</v>
      </c>
      <c r="E26" s="8" t="s">
        <v>20</v>
      </c>
      <c r="F26" s="8" t="s">
        <v>33</v>
      </c>
      <c r="G26" s="8" t="s">
        <v>22</v>
      </c>
      <c r="H26" s="10" t="s">
        <v>131</v>
      </c>
      <c r="I26" s="10" t="s">
        <v>132</v>
      </c>
    </row>
    <row r="27" ht="45.75" customHeight="1">
      <c r="A27" s="8">
        <v>3.0</v>
      </c>
      <c r="B27" s="10" t="s">
        <v>157</v>
      </c>
      <c r="C27" s="8">
        <v>3.0</v>
      </c>
      <c r="D27" s="8" t="s">
        <v>103</v>
      </c>
      <c r="E27" s="8" t="s">
        <v>20</v>
      </c>
      <c r="F27" s="8" t="s">
        <v>42</v>
      </c>
      <c r="G27" s="8" t="s">
        <v>22</v>
      </c>
      <c r="H27" s="10" t="s">
        <v>135</v>
      </c>
      <c r="I27" s="10" t="s">
        <v>136</v>
      </c>
    </row>
    <row r="28" ht="45.75" customHeight="1">
      <c r="A28" s="8">
        <v>4.0</v>
      </c>
      <c r="B28" s="10" t="s">
        <v>158</v>
      </c>
      <c r="C28" s="8">
        <v>3.0</v>
      </c>
      <c r="D28" s="8" t="s">
        <v>40</v>
      </c>
      <c r="E28" s="8" t="s">
        <v>20</v>
      </c>
      <c r="F28" s="8" t="s">
        <v>53</v>
      </c>
      <c r="G28" s="8" t="s">
        <v>54</v>
      </c>
      <c r="H28" s="10" t="s">
        <v>139</v>
      </c>
      <c r="I28" s="10" t="s">
        <v>140</v>
      </c>
    </row>
    <row r="29" ht="45.75" customHeight="1">
      <c r="A29" s="8">
        <v>5.0</v>
      </c>
      <c r="B29" s="10" t="s">
        <v>159</v>
      </c>
      <c r="C29" s="8">
        <v>4.0</v>
      </c>
      <c r="D29" s="8" t="s">
        <v>40</v>
      </c>
      <c r="E29" s="8" t="s">
        <v>20</v>
      </c>
      <c r="F29" s="8" t="s">
        <v>143</v>
      </c>
      <c r="G29" s="8" t="s">
        <v>144</v>
      </c>
      <c r="H29" s="10" t="s">
        <v>145</v>
      </c>
      <c r="I29" s="10" t="s">
        <v>146</v>
      </c>
    </row>
    <row r="30" ht="45.75" customHeight="1">
      <c r="A30" s="8">
        <v>6.0</v>
      </c>
      <c r="B30" s="10" t="s">
        <v>160</v>
      </c>
      <c r="C30" s="8">
        <v>3.0</v>
      </c>
      <c r="D30" s="8" t="s">
        <v>149</v>
      </c>
      <c r="E30" s="8" t="s">
        <v>20</v>
      </c>
      <c r="F30" s="8" t="s">
        <v>143</v>
      </c>
      <c r="G30" s="8" t="s">
        <v>150</v>
      </c>
      <c r="H30" s="10" t="s">
        <v>151</v>
      </c>
      <c r="I30" s="10" t="s">
        <v>153</v>
      </c>
    </row>
    <row r="31" ht="15.75" customHeight="1">
      <c r="B31" s="11" t="s">
        <v>75</v>
      </c>
      <c r="C31" s="12">
        <f>SUM(C25:C30)</f>
        <v>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3:I3"/>
    <mergeCell ref="A13:I13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3.0"/>
    <col customWidth="1" min="3" max="3" width="7.0"/>
    <col customWidth="1" min="4" max="4" width="8.0"/>
    <col customWidth="1" min="5" max="5" width="10.0"/>
    <col customWidth="1" min="6" max="6" width="9.0"/>
    <col customWidth="1" min="7" max="7" width="22.0"/>
    <col customWidth="1" min="8" max="8" width="34.0"/>
    <col customWidth="1" min="9" max="9" width="50.0"/>
    <col customWidth="1" min="10" max="26" width="8.71"/>
  </cols>
  <sheetData>
    <row r="1">
      <c r="A1" s="1" t="s">
        <v>161</v>
      </c>
    </row>
    <row r="3">
      <c r="A3" s="3" t="s">
        <v>4</v>
      </c>
      <c r="B3" s="4"/>
      <c r="C3" s="4"/>
      <c r="D3" s="4"/>
      <c r="E3" s="4"/>
      <c r="F3" s="4"/>
      <c r="G3" s="4"/>
      <c r="H3" s="4"/>
      <c r="I3" s="5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</row>
    <row r="5" ht="45.75" customHeight="1">
      <c r="A5" s="8">
        <v>1.0</v>
      </c>
      <c r="B5" s="10" t="s">
        <v>162</v>
      </c>
      <c r="C5" s="8">
        <v>4.0</v>
      </c>
      <c r="D5" s="8" t="s">
        <v>18</v>
      </c>
      <c r="E5" s="8" t="s">
        <v>20</v>
      </c>
      <c r="F5" s="8" t="s">
        <v>21</v>
      </c>
      <c r="G5" s="8" t="s">
        <v>22</v>
      </c>
      <c r="H5" s="10" t="s">
        <v>25</v>
      </c>
      <c r="I5" s="10" t="s">
        <v>27</v>
      </c>
    </row>
    <row r="6" ht="45.75" customHeight="1">
      <c r="A6" s="8">
        <v>2.0</v>
      </c>
      <c r="B6" s="10" t="s">
        <v>163</v>
      </c>
      <c r="C6" s="8">
        <v>3.0</v>
      </c>
      <c r="D6" s="8" t="s">
        <v>30</v>
      </c>
      <c r="E6" s="8" t="s">
        <v>20</v>
      </c>
      <c r="F6" s="8" t="s">
        <v>33</v>
      </c>
      <c r="G6" s="8" t="s">
        <v>22</v>
      </c>
      <c r="H6" s="10" t="s">
        <v>35</v>
      </c>
      <c r="I6" s="10" t="s">
        <v>37</v>
      </c>
    </row>
    <row r="7" ht="45.75" customHeight="1">
      <c r="A7" s="8">
        <v>3.0</v>
      </c>
      <c r="B7" s="10" t="s">
        <v>164</v>
      </c>
      <c r="C7" s="8">
        <v>3.0</v>
      </c>
      <c r="D7" s="8" t="s">
        <v>40</v>
      </c>
      <c r="E7" s="8" t="s">
        <v>20</v>
      </c>
      <c r="F7" s="8" t="s">
        <v>42</v>
      </c>
      <c r="G7" s="8" t="s">
        <v>44</v>
      </c>
      <c r="H7" s="10" t="s">
        <v>45</v>
      </c>
      <c r="I7" s="10" t="s">
        <v>46</v>
      </c>
    </row>
    <row r="8" ht="45.75" customHeight="1">
      <c r="A8" s="8">
        <v>4.0</v>
      </c>
      <c r="B8" s="10" t="s">
        <v>165</v>
      </c>
      <c r="C8" s="8">
        <v>3.0</v>
      </c>
      <c r="D8" s="8" t="s">
        <v>51</v>
      </c>
      <c r="E8" s="8" t="s">
        <v>20</v>
      </c>
      <c r="F8" s="8" t="s">
        <v>53</v>
      </c>
      <c r="G8" s="8" t="s">
        <v>54</v>
      </c>
      <c r="H8" s="10" t="s">
        <v>55</v>
      </c>
      <c r="I8" s="10" t="s">
        <v>56</v>
      </c>
    </row>
    <row r="9" ht="45.75" customHeight="1">
      <c r="A9" s="8">
        <v>5.0</v>
      </c>
      <c r="B9" s="10" t="s">
        <v>166</v>
      </c>
      <c r="C9" s="8">
        <v>3.0</v>
      </c>
      <c r="D9" s="8" t="s">
        <v>40</v>
      </c>
      <c r="E9" s="8" t="s">
        <v>20</v>
      </c>
      <c r="F9" s="8" t="s">
        <v>53</v>
      </c>
      <c r="G9" s="8" t="s">
        <v>54</v>
      </c>
      <c r="H9" s="10" t="s">
        <v>61</v>
      </c>
      <c r="I9" s="10" t="s">
        <v>63</v>
      </c>
    </row>
    <row r="10" ht="45.75" customHeight="1">
      <c r="A10" s="8">
        <v>6.0</v>
      </c>
      <c r="B10" s="10" t="s">
        <v>167</v>
      </c>
      <c r="C10" s="8">
        <v>3.0</v>
      </c>
      <c r="D10" s="8" t="s">
        <v>40</v>
      </c>
      <c r="E10" s="8" t="s">
        <v>20</v>
      </c>
      <c r="F10" s="8" t="s">
        <v>67</v>
      </c>
      <c r="G10" s="8" t="s">
        <v>44</v>
      </c>
      <c r="H10" s="10" t="s">
        <v>70</v>
      </c>
      <c r="I10" s="10" t="s">
        <v>71</v>
      </c>
    </row>
    <row r="11">
      <c r="B11" s="11" t="s">
        <v>75</v>
      </c>
      <c r="C11" s="12">
        <f>SUM(C5:C10)</f>
        <v>19</v>
      </c>
    </row>
    <row r="13">
      <c r="A13" s="13" t="s">
        <v>90</v>
      </c>
      <c r="B13" s="4"/>
      <c r="C13" s="4"/>
      <c r="D13" s="4"/>
      <c r="E13" s="4"/>
      <c r="F13" s="4"/>
      <c r="G13" s="4"/>
      <c r="H13" s="4"/>
      <c r="I13" s="5"/>
    </row>
    <row r="14">
      <c r="A14" s="6" t="s">
        <v>6</v>
      </c>
      <c r="B14" s="6" t="s">
        <v>7</v>
      </c>
      <c r="C14" s="6" t="s">
        <v>8</v>
      </c>
      <c r="D14" s="6" t="s">
        <v>9</v>
      </c>
      <c r="E14" s="6" t="s">
        <v>10</v>
      </c>
      <c r="F14" s="6" t="s">
        <v>11</v>
      </c>
      <c r="G14" s="6" t="s">
        <v>12</v>
      </c>
      <c r="H14" s="6" t="s">
        <v>13</v>
      </c>
      <c r="I14" s="6" t="s">
        <v>14</v>
      </c>
    </row>
    <row r="15" ht="45.75" customHeight="1">
      <c r="A15" s="8">
        <v>1.0</v>
      </c>
      <c r="B15" s="10" t="s">
        <v>168</v>
      </c>
      <c r="C15" s="8">
        <v>4.0</v>
      </c>
      <c r="D15" s="8" t="s">
        <v>92</v>
      </c>
      <c r="E15" s="8" t="s">
        <v>20</v>
      </c>
      <c r="F15" s="8" t="s">
        <v>21</v>
      </c>
      <c r="G15" s="8" t="s">
        <v>93</v>
      </c>
      <c r="H15" s="10" t="s">
        <v>94</v>
      </c>
      <c r="I15" s="10" t="s">
        <v>95</v>
      </c>
    </row>
    <row r="16" ht="45.75" customHeight="1">
      <c r="A16" s="8">
        <v>2.0</v>
      </c>
      <c r="B16" s="10" t="s">
        <v>169</v>
      </c>
      <c r="C16" s="8">
        <v>4.0</v>
      </c>
      <c r="D16" s="8" t="s">
        <v>99</v>
      </c>
      <c r="E16" s="8" t="s">
        <v>20</v>
      </c>
      <c r="F16" s="8" t="s">
        <v>21</v>
      </c>
      <c r="G16" s="8" t="s">
        <v>93</v>
      </c>
      <c r="H16" s="10" t="s">
        <v>100</v>
      </c>
      <c r="I16" s="10" t="s">
        <v>101</v>
      </c>
    </row>
    <row r="17" ht="45.75" customHeight="1">
      <c r="A17" s="8">
        <v>3.0</v>
      </c>
      <c r="B17" s="10" t="s">
        <v>170</v>
      </c>
      <c r="C17" s="8">
        <v>3.0</v>
      </c>
      <c r="D17" s="8" t="s">
        <v>103</v>
      </c>
      <c r="E17" s="8" t="s">
        <v>20</v>
      </c>
      <c r="F17" s="8" t="s">
        <v>42</v>
      </c>
      <c r="G17" s="8" t="s">
        <v>93</v>
      </c>
      <c r="H17" s="10" t="s">
        <v>106</v>
      </c>
      <c r="I17" s="10" t="s">
        <v>107</v>
      </c>
    </row>
    <row r="18" ht="45.75" customHeight="1">
      <c r="A18" s="8">
        <v>4.0</v>
      </c>
      <c r="B18" s="10" t="s">
        <v>171</v>
      </c>
      <c r="C18" s="8">
        <v>3.0</v>
      </c>
      <c r="D18" s="8" t="s">
        <v>51</v>
      </c>
      <c r="E18" s="8" t="s">
        <v>20</v>
      </c>
      <c r="F18" s="8" t="s">
        <v>53</v>
      </c>
      <c r="G18" s="8" t="s">
        <v>109</v>
      </c>
      <c r="H18" s="10" t="s">
        <v>110</v>
      </c>
      <c r="I18" s="10" t="s">
        <v>112</v>
      </c>
    </row>
    <row r="19" ht="45.75" customHeight="1">
      <c r="A19" s="8">
        <v>5.0</v>
      </c>
      <c r="B19" s="10" t="s">
        <v>172</v>
      </c>
      <c r="C19" s="8">
        <v>3.0</v>
      </c>
      <c r="D19" s="8" t="s">
        <v>30</v>
      </c>
      <c r="E19" s="8" t="s">
        <v>20</v>
      </c>
      <c r="F19" s="8" t="s">
        <v>53</v>
      </c>
      <c r="G19" s="8" t="s">
        <v>54</v>
      </c>
      <c r="H19" s="10" t="s">
        <v>115</v>
      </c>
      <c r="I19" s="10" t="s">
        <v>116</v>
      </c>
    </row>
    <row r="20" ht="45.75" customHeight="1">
      <c r="A20" s="8">
        <v>6.0</v>
      </c>
      <c r="B20" s="10" t="s">
        <v>173</v>
      </c>
      <c r="C20" s="8">
        <v>3.0</v>
      </c>
      <c r="D20" s="8" t="s">
        <v>40</v>
      </c>
      <c r="E20" s="8" t="s">
        <v>20</v>
      </c>
      <c r="F20" s="8" t="s">
        <v>67</v>
      </c>
      <c r="G20" s="8" t="s">
        <v>44</v>
      </c>
      <c r="H20" s="10" t="s">
        <v>119</v>
      </c>
      <c r="I20" s="10" t="s">
        <v>121</v>
      </c>
    </row>
    <row r="21" ht="15.75" customHeight="1">
      <c r="B21" s="11" t="s">
        <v>75</v>
      </c>
      <c r="C21" s="12">
        <f>SUM(C15:C20)</f>
        <v>20</v>
      </c>
    </row>
    <row r="22" ht="15.75" customHeight="1"/>
    <row r="23" ht="15.75" customHeight="1">
      <c r="A23" s="14" t="s">
        <v>125</v>
      </c>
      <c r="B23" s="4"/>
      <c r="C23" s="4"/>
      <c r="D23" s="4"/>
      <c r="E23" s="4"/>
      <c r="F23" s="4"/>
      <c r="G23" s="4"/>
      <c r="H23" s="4"/>
      <c r="I23" s="5"/>
    </row>
    <row r="24" ht="15.75" customHeight="1">
      <c r="A24" s="6" t="s">
        <v>6</v>
      </c>
      <c r="B24" s="6" t="s">
        <v>7</v>
      </c>
      <c r="C24" s="6" t="s">
        <v>8</v>
      </c>
      <c r="D24" s="6" t="s">
        <v>9</v>
      </c>
      <c r="E24" s="6" t="s">
        <v>10</v>
      </c>
      <c r="F24" s="6" t="s">
        <v>11</v>
      </c>
      <c r="G24" s="6" t="s">
        <v>12</v>
      </c>
      <c r="H24" s="6" t="s">
        <v>13</v>
      </c>
      <c r="I24" s="6" t="s">
        <v>14</v>
      </c>
    </row>
    <row r="25" ht="45.75" customHeight="1">
      <c r="A25" s="8">
        <v>1.0</v>
      </c>
      <c r="B25" s="10" t="s">
        <v>174</v>
      </c>
      <c r="C25" s="8">
        <v>4.0</v>
      </c>
      <c r="D25" s="8" t="s">
        <v>18</v>
      </c>
      <c r="E25" s="8" t="s">
        <v>20</v>
      </c>
      <c r="F25" s="8" t="s">
        <v>21</v>
      </c>
      <c r="G25" s="8" t="s">
        <v>22</v>
      </c>
      <c r="H25" s="10" t="s">
        <v>128</v>
      </c>
      <c r="I25" s="10" t="s">
        <v>129</v>
      </c>
    </row>
    <row r="26" ht="45.75" customHeight="1">
      <c r="A26" s="8">
        <v>2.0</v>
      </c>
      <c r="B26" s="10" t="s">
        <v>175</v>
      </c>
      <c r="C26" s="8">
        <v>3.0</v>
      </c>
      <c r="D26" s="8" t="s">
        <v>30</v>
      </c>
      <c r="E26" s="8" t="s">
        <v>20</v>
      </c>
      <c r="F26" s="8" t="s">
        <v>33</v>
      </c>
      <c r="G26" s="8" t="s">
        <v>22</v>
      </c>
      <c r="H26" s="10" t="s">
        <v>131</v>
      </c>
      <c r="I26" s="10" t="s">
        <v>132</v>
      </c>
    </row>
    <row r="27" ht="45.75" customHeight="1">
      <c r="A27" s="8">
        <v>3.0</v>
      </c>
      <c r="B27" s="10" t="s">
        <v>176</v>
      </c>
      <c r="C27" s="8">
        <v>3.0</v>
      </c>
      <c r="D27" s="8" t="s">
        <v>103</v>
      </c>
      <c r="E27" s="8" t="s">
        <v>20</v>
      </c>
      <c r="F27" s="8" t="s">
        <v>42</v>
      </c>
      <c r="G27" s="8" t="s">
        <v>22</v>
      </c>
      <c r="H27" s="10" t="s">
        <v>135</v>
      </c>
      <c r="I27" s="10" t="s">
        <v>136</v>
      </c>
    </row>
    <row r="28" ht="45.75" customHeight="1">
      <c r="A28" s="8">
        <v>4.0</v>
      </c>
      <c r="B28" s="10" t="s">
        <v>137</v>
      </c>
      <c r="C28" s="8">
        <v>3.0</v>
      </c>
      <c r="D28" s="8" t="s">
        <v>40</v>
      </c>
      <c r="E28" s="8" t="s">
        <v>20</v>
      </c>
      <c r="F28" s="8" t="s">
        <v>53</v>
      </c>
      <c r="G28" s="8" t="s">
        <v>54</v>
      </c>
      <c r="H28" s="10" t="s">
        <v>139</v>
      </c>
      <c r="I28" s="10" t="s">
        <v>140</v>
      </c>
    </row>
    <row r="29" ht="45.75" customHeight="1">
      <c r="A29" s="8">
        <v>5.0</v>
      </c>
      <c r="B29" s="10" t="s">
        <v>177</v>
      </c>
      <c r="C29" s="8">
        <v>4.0</v>
      </c>
      <c r="D29" s="8" t="s">
        <v>40</v>
      </c>
      <c r="E29" s="8" t="s">
        <v>20</v>
      </c>
      <c r="F29" s="8" t="s">
        <v>143</v>
      </c>
      <c r="G29" s="8" t="s">
        <v>144</v>
      </c>
      <c r="H29" s="10" t="s">
        <v>145</v>
      </c>
      <c r="I29" s="10" t="s">
        <v>146</v>
      </c>
    </row>
    <row r="30" ht="45.75" customHeight="1">
      <c r="A30" s="8">
        <v>6.0</v>
      </c>
      <c r="B30" s="10" t="s">
        <v>178</v>
      </c>
      <c r="C30" s="8">
        <v>3.0</v>
      </c>
      <c r="D30" s="8" t="s">
        <v>149</v>
      </c>
      <c r="E30" s="8" t="s">
        <v>20</v>
      </c>
      <c r="F30" s="8" t="s">
        <v>143</v>
      </c>
      <c r="G30" s="8" t="s">
        <v>150</v>
      </c>
      <c r="H30" s="10" t="s">
        <v>151</v>
      </c>
      <c r="I30" s="10" t="s">
        <v>153</v>
      </c>
    </row>
    <row r="31" ht="15.75" customHeight="1">
      <c r="B31" s="11" t="s">
        <v>75</v>
      </c>
      <c r="C31" s="12">
        <f>SUM(C25:C30)</f>
        <v>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3:I3"/>
    <mergeCell ref="A13:I13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6.0"/>
    <col customWidth="1" min="3" max="3" width="8.0"/>
    <col customWidth="1" min="4" max="4" width="12.0"/>
    <col customWidth="1" min="5" max="5" width="14.0"/>
    <col customWidth="1" min="6" max="6" width="66.0"/>
    <col customWidth="1" min="7" max="26" width="8.71"/>
  </cols>
  <sheetData>
    <row r="1">
      <c r="A1" s="1" t="s">
        <v>179</v>
      </c>
    </row>
    <row r="2" ht="48.0" customHeight="1">
      <c r="A2" s="15" t="s">
        <v>181</v>
      </c>
    </row>
    <row r="4">
      <c r="A4" s="6" t="s">
        <v>6</v>
      </c>
      <c r="B4" s="6" t="s">
        <v>7</v>
      </c>
      <c r="C4" s="6" t="s">
        <v>8</v>
      </c>
      <c r="D4" s="6" t="s">
        <v>186</v>
      </c>
      <c r="E4" s="6" t="s">
        <v>187</v>
      </c>
      <c r="F4" s="6" t="s">
        <v>189</v>
      </c>
    </row>
    <row r="5" ht="43.5" customHeight="1">
      <c r="A5" s="16">
        <v>1.0</v>
      </c>
      <c r="B5" s="18" t="s">
        <v>194</v>
      </c>
      <c r="C5" s="16">
        <v>2.0</v>
      </c>
      <c r="D5" s="16" t="s">
        <v>99</v>
      </c>
      <c r="E5" s="16" t="s">
        <v>198</v>
      </c>
      <c r="F5" s="18" t="s">
        <v>199</v>
      </c>
    </row>
    <row r="6" ht="43.5" customHeight="1">
      <c r="A6" s="16">
        <v>2.0</v>
      </c>
      <c r="B6" s="18" t="s">
        <v>200</v>
      </c>
      <c r="C6" s="16">
        <v>2.0</v>
      </c>
      <c r="D6" s="16" t="s">
        <v>103</v>
      </c>
      <c r="E6" s="16" t="s">
        <v>198</v>
      </c>
      <c r="F6" s="18" t="s">
        <v>201</v>
      </c>
    </row>
    <row r="7" ht="43.5" customHeight="1">
      <c r="A7" s="16">
        <v>3.0</v>
      </c>
      <c r="B7" s="18" t="s">
        <v>202</v>
      </c>
      <c r="C7" s="16">
        <v>2.0</v>
      </c>
      <c r="D7" s="16" t="s">
        <v>203</v>
      </c>
      <c r="E7" s="16" t="s">
        <v>198</v>
      </c>
      <c r="F7" s="18" t="s">
        <v>204</v>
      </c>
    </row>
    <row r="8" ht="43.5" customHeight="1">
      <c r="A8" s="16">
        <v>4.0</v>
      </c>
      <c r="B8" s="18" t="s">
        <v>205</v>
      </c>
      <c r="C8" s="16">
        <v>2.0</v>
      </c>
      <c r="D8" s="16" t="s">
        <v>206</v>
      </c>
      <c r="E8" s="16" t="s">
        <v>198</v>
      </c>
      <c r="F8" s="18" t="s">
        <v>207</v>
      </c>
    </row>
    <row r="9" ht="66.0" customHeight="1">
      <c r="A9" s="20">
        <v>5.0</v>
      </c>
      <c r="B9" s="21" t="s">
        <v>208</v>
      </c>
      <c r="C9" s="20">
        <v>3.0</v>
      </c>
      <c r="D9" s="20" t="s">
        <v>30</v>
      </c>
      <c r="E9" s="20" t="s">
        <v>209</v>
      </c>
      <c r="F9" s="21" t="s">
        <v>210</v>
      </c>
    </row>
    <row r="11">
      <c r="A11" s="22" t="s">
        <v>211</v>
      </c>
    </row>
    <row r="12">
      <c r="A12" s="6" t="s">
        <v>212</v>
      </c>
      <c r="B12" s="6" t="s">
        <v>213</v>
      </c>
      <c r="C12" s="6" t="s">
        <v>214</v>
      </c>
      <c r="D12" s="6" t="s">
        <v>215</v>
      </c>
      <c r="E12" s="6" t="s">
        <v>216</v>
      </c>
      <c r="F12" s="6" t="s">
        <v>217</v>
      </c>
    </row>
    <row r="13" ht="33.75" customHeight="1">
      <c r="A13" s="16" t="s">
        <v>218</v>
      </c>
      <c r="B13" s="18" t="s">
        <v>219</v>
      </c>
      <c r="C13" s="16" t="s">
        <v>220</v>
      </c>
      <c r="D13" s="18" t="s">
        <v>221</v>
      </c>
      <c r="E13" s="16" t="s">
        <v>222</v>
      </c>
      <c r="F13" s="18" t="s">
        <v>223</v>
      </c>
    </row>
    <row r="14" ht="33.75" customHeight="1">
      <c r="A14" s="16" t="s">
        <v>224</v>
      </c>
      <c r="B14" s="18" t="s">
        <v>225</v>
      </c>
      <c r="C14" s="16" t="s">
        <v>220</v>
      </c>
      <c r="D14" s="18" t="s">
        <v>226</v>
      </c>
      <c r="E14" s="16" t="s">
        <v>227</v>
      </c>
      <c r="F14" s="18" t="s">
        <v>228</v>
      </c>
    </row>
    <row r="15" ht="33.75" customHeight="1">
      <c r="A15" s="16" t="s">
        <v>229</v>
      </c>
      <c r="B15" s="18" t="s">
        <v>230</v>
      </c>
      <c r="C15" s="16" t="s">
        <v>231</v>
      </c>
      <c r="D15" s="18" t="s">
        <v>226</v>
      </c>
      <c r="E15" s="16" t="s">
        <v>232</v>
      </c>
      <c r="F15" s="18" t="s">
        <v>233</v>
      </c>
    </row>
    <row r="16" ht="33.75" customHeight="1">
      <c r="A16" s="16" t="s">
        <v>234</v>
      </c>
      <c r="B16" s="18" t="s">
        <v>235</v>
      </c>
      <c r="C16" s="16" t="s">
        <v>231</v>
      </c>
      <c r="D16" s="18" t="s">
        <v>236</v>
      </c>
      <c r="E16" s="16" t="s">
        <v>237</v>
      </c>
      <c r="F16" s="18" t="s">
        <v>238</v>
      </c>
    </row>
    <row r="18" ht="75.75" customHeight="1">
      <c r="A18" s="15" t="s"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11:F11"/>
    <mergeCell ref="A18:F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38.0"/>
    <col customWidth="1" min="5" max="5" width="8.0"/>
    <col customWidth="1" min="6" max="6" width="10.0"/>
    <col customWidth="1" min="7" max="8" width="8.0"/>
    <col customWidth="1" min="9" max="9" width="30.0"/>
    <col customWidth="1" min="10" max="26" width="8.71"/>
  </cols>
  <sheetData>
    <row r="1">
      <c r="A1" s="1" t="s">
        <v>180</v>
      </c>
    </row>
    <row r="2" ht="30.0" customHeight="1">
      <c r="A2" s="15" t="s">
        <v>182</v>
      </c>
    </row>
    <row r="4">
      <c r="A4" s="6" t="s">
        <v>183</v>
      </c>
      <c r="B4" s="6" t="s">
        <v>184</v>
      </c>
      <c r="C4" s="6" t="s">
        <v>185</v>
      </c>
      <c r="D4" s="6" t="s">
        <v>7</v>
      </c>
      <c r="E4" s="6" t="s">
        <v>188</v>
      </c>
      <c r="F4" s="6" t="s">
        <v>190</v>
      </c>
      <c r="G4" s="6" t="s">
        <v>9</v>
      </c>
      <c r="H4" s="6" t="s">
        <v>191</v>
      </c>
      <c r="I4" s="6" t="s">
        <v>192</v>
      </c>
    </row>
    <row r="5">
      <c r="A5" s="17" t="s">
        <v>193</v>
      </c>
      <c r="B5" s="17" t="s">
        <v>195</v>
      </c>
      <c r="C5" s="17" t="s">
        <v>196</v>
      </c>
      <c r="D5" s="17" t="s">
        <v>23</v>
      </c>
      <c r="E5" s="17">
        <v>1.0</v>
      </c>
      <c r="F5" s="17">
        <v>80.0</v>
      </c>
      <c r="G5" s="17">
        <v>8.0</v>
      </c>
      <c r="H5" s="17">
        <v>3.0</v>
      </c>
      <c r="I5" s="17" t="s">
        <v>197</v>
      </c>
    </row>
    <row r="6">
      <c r="A6" s="19"/>
      <c r="B6" s="19"/>
      <c r="C6" s="19"/>
      <c r="D6" s="19"/>
      <c r="E6" s="19"/>
      <c r="F6" s="19"/>
      <c r="G6" s="19"/>
      <c r="H6" s="19"/>
      <c r="I6" s="19"/>
    </row>
    <row r="7">
      <c r="A7" s="19"/>
      <c r="B7" s="19"/>
      <c r="C7" s="19"/>
      <c r="D7" s="19"/>
      <c r="E7" s="19"/>
      <c r="F7" s="19"/>
      <c r="G7" s="19"/>
      <c r="H7" s="19"/>
      <c r="I7" s="19"/>
    </row>
    <row r="8">
      <c r="A8" s="19"/>
      <c r="B8" s="19"/>
      <c r="C8" s="19"/>
      <c r="D8" s="19"/>
      <c r="E8" s="19"/>
      <c r="F8" s="19"/>
      <c r="G8" s="19"/>
      <c r="H8" s="19"/>
      <c r="I8" s="19"/>
    </row>
    <row r="9">
      <c r="A9" s="19"/>
      <c r="B9" s="19"/>
      <c r="C9" s="19"/>
      <c r="D9" s="19"/>
      <c r="E9" s="19"/>
      <c r="F9" s="19"/>
      <c r="G9" s="19"/>
      <c r="H9" s="19"/>
      <c r="I9" s="19"/>
    </row>
    <row r="10">
      <c r="A10" s="19"/>
      <c r="B10" s="19"/>
      <c r="C10" s="19"/>
      <c r="D10" s="19"/>
      <c r="E10" s="19"/>
      <c r="F10" s="19"/>
      <c r="G10" s="19"/>
      <c r="H10" s="19"/>
      <c r="I10" s="19"/>
    </row>
    <row r="11">
      <c r="A11" s="19"/>
      <c r="B11" s="19"/>
      <c r="C11" s="19"/>
      <c r="D11" s="19"/>
      <c r="E11" s="19"/>
      <c r="F11" s="19"/>
      <c r="G11" s="19"/>
      <c r="H11" s="19"/>
      <c r="I11" s="19"/>
    </row>
    <row r="12">
      <c r="A12" s="19"/>
      <c r="B12" s="19"/>
      <c r="C12" s="19"/>
      <c r="D12" s="19"/>
      <c r="E12" s="19"/>
      <c r="F12" s="19"/>
      <c r="G12" s="19"/>
      <c r="H12" s="19"/>
      <c r="I12" s="19"/>
    </row>
    <row r="13">
      <c r="A13" s="19"/>
      <c r="B13" s="19"/>
      <c r="C13" s="19"/>
      <c r="D13" s="19"/>
      <c r="E13" s="19"/>
      <c r="F13" s="19"/>
      <c r="G13" s="19"/>
      <c r="H13" s="19"/>
      <c r="I13" s="19"/>
    </row>
    <row r="14">
      <c r="A14" s="19"/>
      <c r="B14" s="19"/>
      <c r="C14" s="19"/>
      <c r="D14" s="19"/>
      <c r="E14" s="19"/>
      <c r="F14" s="19"/>
      <c r="G14" s="19"/>
      <c r="H14" s="19"/>
      <c r="I14" s="19"/>
    </row>
    <row r="15">
      <c r="A15" s="19"/>
      <c r="B15" s="19"/>
      <c r="C15" s="19"/>
      <c r="D15" s="19"/>
      <c r="E15" s="19"/>
      <c r="F15" s="19"/>
      <c r="G15" s="19"/>
      <c r="H15" s="19"/>
      <c r="I15" s="19"/>
    </row>
    <row r="16">
      <c r="A16" s="19"/>
      <c r="B16" s="19"/>
      <c r="C16" s="19"/>
      <c r="D16" s="19"/>
      <c r="E16" s="19"/>
      <c r="F16" s="19"/>
      <c r="G16" s="19"/>
      <c r="H16" s="19"/>
      <c r="I16" s="19"/>
    </row>
    <row r="17">
      <c r="A17" s="19"/>
      <c r="B17" s="19"/>
      <c r="C17" s="19"/>
      <c r="D17" s="19"/>
      <c r="E17" s="19"/>
      <c r="F17" s="19"/>
      <c r="G17" s="19"/>
      <c r="H17" s="19"/>
      <c r="I17" s="19"/>
    </row>
    <row r="18">
      <c r="A18" s="19"/>
      <c r="B18" s="19"/>
      <c r="C18" s="19"/>
      <c r="D18" s="19"/>
      <c r="E18" s="19"/>
      <c r="F18" s="19"/>
      <c r="G18" s="19"/>
      <c r="H18" s="19"/>
      <c r="I18" s="19"/>
    </row>
    <row r="19">
      <c r="A19" s="19"/>
      <c r="B19" s="19"/>
      <c r="C19" s="19"/>
      <c r="D19" s="19"/>
      <c r="E19" s="19"/>
      <c r="F19" s="19"/>
      <c r="G19" s="19"/>
      <c r="H19" s="19"/>
      <c r="I19" s="19"/>
    </row>
    <row r="20">
      <c r="A20" s="19"/>
      <c r="B20" s="19"/>
      <c r="C20" s="19"/>
      <c r="D20" s="19"/>
      <c r="E20" s="19"/>
      <c r="F20" s="19"/>
      <c r="G20" s="19"/>
      <c r="H20" s="19"/>
      <c r="I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